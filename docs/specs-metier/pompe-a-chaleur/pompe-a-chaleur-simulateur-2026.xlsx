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ertrand/Developer/GitHub/simulateurs-portail-elec/docs/specs-metier/pompe-a-chaleur/"/>
    </mc:Choice>
  </mc:AlternateContent>
  <xr:revisionPtr revIDLastSave="0" documentId="8_{821DE798-A461-2C47-AEBB-99A18988265E}" xr6:coauthVersionLast="47" xr6:coauthVersionMax="47" xr10:uidLastSave="{00000000-0000-0000-0000-000000000000}"/>
  <bookViews>
    <workbookView xWindow="0" yWindow="660" windowWidth="21140" windowHeight="14480" tabRatio="500" xr2:uid="{00000000-000D-0000-FFFF-FFFF00000000}"/>
  </bookViews>
  <sheets>
    <sheet name="Saisies" sheetId="1" r:id="rId1"/>
    <sheet name="Hypothèses" sheetId="2" r:id="rId2"/>
    <sheet name="Calculs" sheetId="3" r:id="rId3"/>
    <sheet name="Résultats" sheetId="4" r:id="rId4"/>
    <sheet name="Amortissemen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5" l="1"/>
  <c r="C34" i="5"/>
  <c r="C33" i="5"/>
  <c r="C32" i="5"/>
  <c r="B45" i="3"/>
  <c r="C16" i="4" s="1"/>
  <c r="B38" i="3"/>
  <c r="B39" i="3" s="1"/>
  <c r="B19" i="3"/>
  <c r="B18" i="3"/>
  <c r="B17" i="3"/>
  <c r="B22" i="3" s="1"/>
  <c r="B14" i="3"/>
  <c r="B42" i="3" s="1"/>
  <c r="B13" i="3"/>
  <c r="B40" i="3" s="1"/>
  <c r="B12" i="3"/>
  <c r="B11" i="3"/>
  <c r="B21" i="3" s="1"/>
  <c r="B10" i="3"/>
  <c r="C5" i="4" s="1"/>
  <c r="B9" i="3"/>
  <c r="B8" i="3"/>
  <c r="B7" i="3"/>
  <c r="B6" i="3"/>
  <c r="B5" i="3"/>
  <c r="C22" i="4" l="1"/>
  <c r="B30" i="3"/>
  <c r="D32" i="5" s="1"/>
  <c r="E32" i="5" s="1"/>
  <c r="B29" i="3"/>
  <c r="B34" i="3" s="1"/>
  <c r="B31" i="3"/>
  <c r="B28" i="3"/>
  <c r="B27" i="3"/>
  <c r="B26" i="3"/>
  <c r="B25" i="3"/>
  <c r="B33" i="3"/>
  <c r="D35" i="5" s="1"/>
  <c r="E35" i="5" s="1"/>
  <c r="B32" i="3"/>
  <c r="D34" i="5" s="1"/>
  <c r="E34" i="5" s="1"/>
  <c r="C14" i="4"/>
  <c r="B20" i="3"/>
  <c r="B44" i="3"/>
  <c r="B47" i="3"/>
  <c r="C18" i="4" s="1"/>
  <c r="B41" i="3"/>
  <c r="B43" i="3" s="1"/>
  <c r="C15" i="4" l="1"/>
  <c r="B46" i="3"/>
  <c r="D33" i="5"/>
  <c r="E33" i="5" s="1"/>
  <c r="B35" i="3"/>
  <c r="D36" i="5"/>
  <c r="C24" i="4"/>
  <c r="C23" i="4" l="1"/>
  <c r="B50" i="3"/>
  <c r="C17" i="4"/>
  <c r="B48" i="3"/>
  <c r="C6" i="4" l="1"/>
  <c r="C19" i="4"/>
  <c r="B49" i="3"/>
  <c r="C7" i="4"/>
  <c r="C15" i="5"/>
  <c r="C18" i="5"/>
  <c r="C8" i="5"/>
  <c r="C21" i="5"/>
  <c r="C11" i="5"/>
  <c r="C14" i="5"/>
  <c r="C17" i="5"/>
  <c r="C7" i="5"/>
  <c r="C20" i="5"/>
  <c r="C10" i="5"/>
  <c r="C12" i="5"/>
  <c r="C13" i="5"/>
  <c r="C16" i="5"/>
  <c r="C25" i="4"/>
  <c r="C9" i="4"/>
  <c r="C19" i="5"/>
  <c r="C9" i="5"/>
  <c r="C36" i="5" l="1"/>
  <c r="E36" i="5" s="1"/>
  <c r="D6" i="5"/>
  <c r="C8" i="4"/>
  <c r="D7" i="5" l="1"/>
  <c r="E6" i="5"/>
  <c r="D8" i="5" l="1"/>
  <c r="E7" i="5"/>
  <c r="D9" i="5" l="1"/>
  <c r="E8" i="5"/>
  <c r="D10" i="5" l="1"/>
  <c r="E9" i="5"/>
  <c r="D11" i="5" l="1"/>
  <c r="E10" i="5"/>
  <c r="E11" i="5" l="1"/>
  <c r="D12" i="5"/>
  <c r="D13" i="5" l="1"/>
  <c r="E12" i="5"/>
  <c r="D14" i="5" l="1"/>
  <c r="E13" i="5"/>
  <c r="C24" i="5"/>
  <c r="C27" i="5" l="1"/>
  <c r="C26" i="5"/>
  <c r="C25" i="5"/>
  <c r="E14" i="5"/>
  <c r="D15" i="5"/>
  <c r="D16" i="5" l="1"/>
  <c r="E15" i="5"/>
  <c r="D17" i="5" l="1"/>
  <c r="E16" i="5"/>
  <c r="D18" i="5" l="1"/>
  <c r="E17" i="5"/>
  <c r="D19" i="5" l="1"/>
  <c r="E18" i="5"/>
  <c r="D20" i="5" l="1"/>
  <c r="E19" i="5"/>
  <c r="D21" i="5" l="1"/>
  <c r="E20" i="5"/>
  <c r="E21" i="5" l="1"/>
  <c r="C28" i="5"/>
</calcChain>
</file>

<file path=xl/sharedStrings.xml><?xml version="1.0" encoding="utf-8"?>
<sst xmlns="http://schemas.openxmlformats.org/spreadsheetml/2006/main" count="250" uniqueCount="231">
  <si>
    <t>Saisies — votre projet PAC</t>
  </si>
  <si>
    <t>Cellules bleues à renseigner. Calculs et résultats se mettent à jour automatiquement.</t>
  </si>
  <si>
    <t>Mon logement</t>
  </si>
  <si>
    <t>Surface chauffée (m²)</t>
  </si>
  <si>
    <t>Entre 40 et 250 m².</t>
  </si>
  <si>
    <t>Zone climatique</t>
  </si>
  <si>
    <t>H2</t>
  </si>
  <si>
    <t>H1 (Nord-est, froid) · H2 (Ouest/Centre/Sud-Ouest) · H3 (Méditerranée).</t>
  </si>
  <si>
    <t>État de l'isolation</t>
  </si>
  <si>
    <t>moyen</t>
  </si>
  <si>
    <t>passoire (DPE F-G) · moyen (D-E) · bon (B-C).</t>
  </si>
  <si>
    <t>Chauffage actuel</t>
  </si>
  <si>
    <t>gaz</t>
  </si>
  <si>
    <t>fioul · gaz · propane · elec.</t>
  </si>
  <si>
    <t>Mon projet PAC</t>
  </si>
  <si>
    <t>Type de PAC</t>
  </si>
  <si>
    <t>aireau</t>
  </si>
  <si>
    <t>aireau · geo · airair (air/air non éligible MPR).</t>
  </si>
  <si>
    <t>Profil de revenus (plafonds Anah)</t>
  </si>
  <si>
    <t>violet</t>
  </si>
  <si>
    <t>bleu (très mod.) · jaune (modeste) · violet (interm.) · rose (supérieur).</t>
  </si>
  <si>
    <t>Override facture réelle (optionnel — laisser 0 pour ignorer)</t>
  </si>
  <si>
    <t>Montant facture annuelle TTC (€)</t>
  </si>
  <si>
    <t>Si &gt; 0, calibre directement sur ce montant (prioritaire).</t>
  </si>
  <si>
    <t>Consommation annuelle (unité selon énergie)</t>
  </si>
  <si>
    <t>Si &gt; 0 et montant = 0, calibre sur cette conso. Unité : voir Hypothèses (litres / kWh / kg).</t>
  </si>
  <si>
    <t>Hypothèses — Simulateur Pompe à chaleur 2026</t>
  </si>
  <si>
    <t>Cellules bleues = modifiables. Le reste du classeur recalcule automatiquement.</t>
  </si>
  <si>
    <t>Énergies : prix, rendement chaudière, conversion d'unité</t>
  </si>
  <si>
    <t>Code énergie</t>
  </si>
  <si>
    <t>Prix (€/kWh)</t>
  </si>
  <si>
    <t>Rendement</t>
  </si>
  <si>
    <t>kWh / unité</t>
  </si>
  <si>
    <t>Unité de la facture</t>
  </si>
  <si>
    <t>fioul</t>
  </si>
  <si>
    <t>litres/an</t>
  </si>
  <si>
    <t>Prix TTC mai 2026 (CRE/CGDD). Rendements de la chaudière en place.</t>
  </si>
  <si>
    <t>kWh/an</t>
  </si>
  <si>
    <t>propane</t>
  </si>
  <si>
    <t>kg/an</t>
  </si>
  <si>
    <t>elec</t>
  </si>
  <si>
    <t>SCOP saisonnier des pompes à chaleur</t>
  </si>
  <si>
    <t>Code PAC</t>
  </si>
  <si>
    <t>SCOP</t>
  </si>
  <si>
    <t>Coût install (€)</t>
  </si>
  <si>
    <t>SCOP médian observé en France 2024-2025. Coût TTC clé en main médian (FNCH).</t>
  </si>
  <si>
    <t>geo</t>
  </si>
  <si>
    <t>airair</t>
  </si>
  <si>
    <t>Besoin de chauffage par zone climatique (kWh utiles/m²/an)</t>
  </si>
  <si>
    <t>Zone</t>
  </si>
  <si>
    <t>kWh/m²/an</t>
  </si>
  <si>
    <t>H1</t>
  </si>
  <si>
    <t>Hyp. logement DPE D-E ; ajusté par le facteur isolation.</t>
  </si>
  <si>
    <t>H3</t>
  </si>
  <si>
    <t>Facteur isolation (multiplicateur du besoin)</t>
  </si>
  <si>
    <t>Code isolation</t>
  </si>
  <si>
    <t>Facteur</t>
  </si>
  <si>
    <t>passoire</t>
  </si>
  <si>
    <t>passoire = DPE F-G (× 1,5) ; moyen = D-E (× 1,0) ; bon = B-C (× 0,65).</t>
  </si>
  <si>
    <t>bon</t>
  </si>
  <si>
    <t>MaPrimeRénov' parcours par geste (€) — PAC × profil</t>
  </si>
  <si>
    <t>Code PAC / Profil</t>
  </si>
  <si>
    <t>bleu (très mod.)</t>
  </si>
  <si>
    <t>jaune (modeste)</t>
  </si>
  <si>
    <t>violet (interm.)</t>
  </si>
  <si>
    <t>rose (supérieur)</t>
  </si>
  <si>
    <t>Source : Anah — MPR parcours par geste 2026. Air/air non éligible.</t>
  </si>
  <si>
    <t>Plafonds MaPrimeRénov' (€ de travaux pris en compte)</t>
  </si>
  <si>
    <t>Plafond travaux PAC air/eau</t>
  </si>
  <si>
    <t>Anah</t>
  </si>
  <si>
    <t>Plafond travaux PAC géothermique</t>
  </si>
  <si>
    <t>Plafond travaux PAC air/air</t>
  </si>
  <si>
    <t>Air/air non éligible</t>
  </si>
  <si>
    <t>CEE Coup de pouce chauffage (€) — par profil</t>
  </si>
  <si>
    <t>Type / Profil</t>
  </si>
  <si>
    <t>bleu</t>
  </si>
  <si>
    <t>jaune</t>
  </si>
  <si>
    <t>rose</t>
  </si>
  <si>
    <t>Bonifié</t>
  </si>
  <si>
    <t>Bonifié = remplacement chaudière fioul/gaz/propane → PAC air/eau ou géo.</t>
  </si>
  <si>
    <t>Standard</t>
  </si>
  <si>
    <t>Bonus dépose cuve fioul (€) — par profil</t>
  </si>
  <si>
    <t>Profil</t>
  </si>
  <si>
    <t>Montant</t>
  </si>
  <si>
    <t>Uniquement si énergie actuelle = fioul ET PAC ≠ air/air.</t>
  </si>
  <si>
    <t>Paramètres analyse 15 ans</t>
  </si>
  <si>
    <t>Durée analyse (années)</t>
  </si>
  <si>
    <t>Horizon d'amortissement</t>
  </si>
  <si>
    <t>Inflation prix énergies (%/an)</t>
  </si>
  <si>
    <t>Hyp. CRE/CGDD</t>
  </si>
  <si>
    <t>Plafond cumul aides (% coût install)</t>
  </si>
  <si>
    <t>Garde-fou réglementaire</t>
  </si>
  <si>
    <t>Coût installation alternative (chaudière de remplacement, €)</t>
  </si>
  <si>
    <t>Chaudière fioul</t>
  </si>
  <si>
    <t>Hyp. remplacement à neuf</t>
  </si>
  <si>
    <t>Chaudière gaz à condensation</t>
  </si>
  <si>
    <t>Chaudière propane</t>
  </si>
  <si>
    <t>Convecteurs électriques</t>
  </si>
  <si>
    <t>Calculs intermédiaires</t>
  </si>
  <si>
    <t>Formules reproduisant le JS du simulateur PAC. Ne modifier que Saisies / Hypothèses.</t>
  </si>
  <si>
    <t>1. Lookups depuis Hypothèses</t>
  </si>
  <si>
    <t>Prix énergie actuelle (€/kWh)</t>
  </si>
  <si>
    <t>Lookup dans la table énergies.</t>
  </si>
  <si>
    <t>Rendement chaudière actuelle</t>
  </si>
  <si>
    <t>Rendement combustion.</t>
  </si>
  <si>
    <t>kWh par unité (conversion facture)</t>
  </si>
  <si>
    <t>1 L fioul = 10 kWh ; 1 kg propane = 13,8 kWh ; etc.</t>
  </si>
  <si>
    <t>Prix électricité (€/kWh, alimentation PAC)</t>
  </si>
  <si>
    <t>La PAC consomme de l'électricité.</t>
  </si>
  <si>
    <t>SCOP de la PAC choisie</t>
  </si>
  <si>
    <t>Coefficient de performance saisonnier.</t>
  </si>
  <si>
    <t>Coût d'installation PAC (€)</t>
  </si>
  <si>
    <t>TTC clé en main.</t>
  </si>
  <si>
    <t>Besoin base zone (kWh/m²/an)</t>
  </si>
  <si>
    <t>Selon H1/H2/H3.</t>
  </si>
  <si>
    <t>Facteur isolation</t>
  </si>
  <si>
    <t>Multiplicateur du besoin.</t>
  </si>
  <si>
    <t>Index PAC (1=aireau, 2=geo, 3=airair)</t>
  </si>
  <si>
    <t>Sert aux lookups MPR.</t>
  </si>
  <si>
    <t>Index profil (1=bleu .. 4=rose)</t>
  </si>
  <si>
    <t>Sert aux lookups MPR/CEE.</t>
  </si>
  <si>
    <t>2. Besoin utile (kWh/an) — avec override facture</t>
  </si>
  <si>
    <t>Override facture actif ? (1 = oui)</t>
  </si>
  <si>
    <t>Activé dès qu'au moins un override est renseigné.</t>
  </si>
  <si>
    <t>Conso finale via facture (€) (si montant fourni)</t>
  </si>
  <si>
    <t>Montant ÷ prix énergie = kWh consommés.</t>
  </si>
  <si>
    <t>Conso finale via facture (kWh) (si conso fournie)</t>
  </si>
  <si>
    <t>Conso brute × kWh/unité.</t>
  </si>
  <si>
    <t>Besoin utile via override (kWh/an)</t>
  </si>
  <si>
    <t>Énergie finale × rendement de la chaudière = énergie utile (chaleur produite).</t>
  </si>
  <si>
    <t>Besoin utile via surface (kWh/an)</t>
  </si>
  <si>
    <t>Surface × besoin/m² × facteur isolation.</t>
  </si>
  <si>
    <t>BESOIN UTILE RETENU (kWh/an)</t>
  </si>
  <si>
    <t>Override prioritaire si actif.</t>
  </si>
  <si>
    <t>3. Coûts annuels par solution (€/an)</t>
  </si>
  <si>
    <t>Conso fioul (kWh/an)</t>
  </si>
  <si>
    <t>Conso gaz (kWh/an)</t>
  </si>
  <si>
    <t>Conso propane (kWh/an)</t>
  </si>
  <si>
    <t>Conso élec direct (kWh/an)</t>
  </si>
  <si>
    <t>Conso PAC (kWh/an élec)</t>
  </si>
  <si>
    <t>Besoin utile ÷ SCOP.</t>
  </si>
  <si>
    <t>Coût fioul /an (€)</t>
  </si>
  <si>
    <t>Coût gaz /an (€)</t>
  </si>
  <si>
    <t>Coût propane /an (€)</t>
  </si>
  <si>
    <t>Coût élec direct /an (€)</t>
  </si>
  <si>
    <t>Coût PAC /an (€)</t>
  </si>
  <si>
    <t>Conso PAC × prix élec.</t>
  </si>
  <si>
    <t>Coût ÉNERGIE ACTUELLE /an (€)</t>
  </si>
  <si>
    <t>Montant direct si saisi, sinon coût calculé selon énergie.</t>
  </si>
  <si>
    <t>4. Aides mobilisables</t>
  </si>
  <si>
    <t>Remplace énergie fossile ?</t>
  </si>
  <si>
    <t>1 = oui (déclenche le bonifié si PAC ≠ air/air).</t>
  </si>
  <si>
    <t>Éligible Coup de pouce bonifié ?</t>
  </si>
  <si>
    <t>MaPrimeRénov' (€)</t>
  </si>
  <si>
    <t>Lookup table MPR : pac × profil.</t>
  </si>
  <si>
    <t>CEE bonifié (€) — lookup</t>
  </si>
  <si>
    <t>Coup de pouce bonifié pour le profil.</t>
  </si>
  <si>
    <t>CEE standard (€) — lookup</t>
  </si>
  <si>
    <t>CEE retenu (€)</t>
  </si>
  <si>
    <t>Bonifié si remplacement fossile + PAC ≠ air/air ; standard sinon.</t>
  </si>
  <si>
    <t>Bonus dépose fioul brut (€) — lookup</t>
  </si>
  <si>
    <t>Montant selon profil.</t>
  </si>
  <si>
    <t>Bonus dépose fioul retenu (€)</t>
  </si>
  <si>
    <t>Uniquement si fioul + PAC eau.</t>
  </si>
  <si>
    <t>Aides brutes (MPR + CEE + bonus) (€)</t>
  </si>
  <si>
    <t>Plafond cumul (90 % du coût install)</t>
  </si>
  <si>
    <t>Garde-fou réglementaire.</t>
  </si>
  <si>
    <t>TOTAL aides (€) — plafonné</t>
  </si>
  <si>
    <t>Plafonné à 90 % du coût install.</t>
  </si>
  <si>
    <t>Reste à charge (€)</t>
  </si>
  <si>
    <t>Économies annuelles (€/an)</t>
  </si>
  <si>
    <t>Coût actuel − coût PAC. Positif = gain, négatif = surcoût.</t>
  </si>
  <si>
    <t>Résultats — synthèse PAC</t>
  </si>
  <si>
    <t>Tous les chiffres se mettent à jour à chaque modification des Saisies ou des Hypothèses.</t>
  </si>
  <si>
    <t>Indicateurs clés</t>
  </si>
  <si>
    <t>Coût d'installation</t>
  </si>
  <si>
    <t>TTC clé en main (pose + matériel).</t>
  </si>
  <si>
    <t>Aides publiques mobilisables</t>
  </si>
  <si>
    <t>MaPrimeRénov' + CEE + bonus dépose, plafonné à 90 % du coût.</t>
  </si>
  <si>
    <t>% du projet financé par l'État</t>
  </si>
  <si>
    <t>Aides ÷ coût install.</t>
  </si>
  <si>
    <t>Reste à votre charge</t>
  </si>
  <si>
    <t>Coût − aides.</t>
  </si>
  <si>
    <t>Économie annuelle (vs chauffage actuel)</t>
  </si>
  <si>
    <t>Positif = gain, négatif = surcoût.</t>
  </si>
  <si>
    <t>Détail des dispositifs</t>
  </si>
  <si>
    <t>Dispositif</t>
  </si>
  <si>
    <t>Conditions</t>
  </si>
  <si>
    <t>MaPrimeRénov'</t>
  </si>
  <si>
    <t>Selon PAC × profil. Air/air = 0 €.</t>
  </si>
  <si>
    <t>CEE Coup de pouce chauffage</t>
  </si>
  <si>
    <t>Bonifié si remplacement fossile + PAC ≠ air/air.</t>
  </si>
  <si>
    <t>Bonus dépose cuve fioul</t>
  </si>
  <si>
    <t>Si chauffage actuel = fioul + PAC eau.</t>
  </si>
  <si>
    <t>Aides brutes (avant plafond)</t>
  </si>
  <si>
    <t>Somme directe.</t>
  </si>
  <si>
    <t>Plafond cumul (90 % coût)</t>
  </si>
  <si>
    <t>TOTAL aides retenues</t>
  </si>
  <si>
    <t>Soit MIN(brutes ; plafond).</t>
  </si>
  <si>
    <t>Détail du besoin &amp; du coût actuel</t>
  </si>
  <si>
    <t>Besoin utile retenu (kWh/an)</t>
  </si>
  <si>
    <t>Surface × besoin/m² × facteur isolation OU calibré sur facture.</t>
  </si>
  <si>
    <t>Coût énergie actuelle (€/an)</t>
  </si>
  <si>
    <t>Coût PAC (€/an)</t>
  </si>
  <si>
    <t>Coût actuel − coût PAC.</t>
  </si>
  <si>
    <t>Amortissement sur 15 ans + comparaison TCO</t>
  </si>
  <si>
    <t>Cumul net annuel (économies inflées à 3 %/an) + coût total cumulé par solution.</t>
  </si>
  <si>
    <t>Évolution année par année</t>
  </si>
  <si>
    <t>Année</t>
  </si>
  <si>
    <t>Économie/an inflée</t>
  </si>
  <si>
    <t>Cumul net</t>
  </si>
  <si>
    <t>Cumul vs coût install</t>
  </si>
  <si>
    <t>Statut</t>
  </si>
  <si>
    <t>Point d'équilibre</t>
  </si>
  <si>
    <t>Position MATCH (1-indexed)</t>
  </si>
  <si>
    <t>Dernière année où cumul ≤ 0.</t>
  </si>
  <si>
    <t>Index année avant équilibre (0-indexed)</t>
  </si>
  <si>
    <t>Cumul à cet index (€)</t>
  </si>
  <si>
    <t>Cumul année suivante (€)</t>
  </si>
  <si>
    <t>POINT D'ÉQUILIBRE (années)</t>
  </si>
  <si>
    <t>Interpolation linéaire entre les deux années encadrant le 0.</t>
  </si>
  <si>
    <t>TCO sur 15 ans — comparaison</t>
  </si>
  <si>
    <t>Solution</t>
  </si>
  <si>
    <t>Coût annuel (€)</t>
  </si>
  <si>
    <t>TCO 15 ans (€)</t>
  </si>
  <si>
    <t>Fioul (remplacement chaudière)</t>
  </si>
  <si>
    <t>Gaz (chaudière condensation)</t>
  </si>
  <si>
    <t>Propane</t>
  </si>
  <si>
    <t>Élec direct (convecteurs)</t>
  </si>
  <si>
    <t>PAC retenue (net d'aides)</t>
  </si>
  <si>
    <t>Formule TCO : coût install + coût annuel × ((1 + inflation)^N − 1) /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</si>
</sst>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 m²&quot;"/>
    <numFmt numFmtId="165" formatCode="#,##0&quot; €&quot;;[Red]\-#,##0&quot; €&quot;;\—"/>
    <numFmt numFmtId="166" formatCode="0.000"/>
    <numFmt numFmtId="167" formatCode="0.0%"/>
    <numFmt numFmtId="168" formatCode="#,##0&quot; kWh/m²/an&quot;"/>
    <numFmt numFmtId="169" formatCode="#,##0&quot; kWh/an&quot;"/>
    <numFmt numFmtId="170" formatCode="#,##0&quot; €/an&quot;;[Red]\-#,##0&quot; €/an&quot;;\—"/>
  </numFmts>
  <fonts count="14" x14ac:knownFonts="1">
    <font>
      <sz val="11"/>
      <color theme="1"/>
      <name val="Calibri"/>
      <family val="2"/>
      <charset val="1"/>
    </font>
    <font>
      <b/>
      <sz val="14"/>
      <color rgb="FF000091"/>
      <name val="Arial"/>
      <family val="2"/>
    </font>
    <font>
      <i/>
      <sz val="9"/>
      <color rgb="FF666666"/>
      <name val="Arial"/>
      <family val="2"/>
    </font>
    <font>
      <b/>
      <sz val="11"/>
      <color rgb="FF000091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rgb="FF666666"/>
      <name val="Arial"/>
      <family val="2"/>
    </font>
    <font>
      <b/>
      <sz val="18"/>
      <color rgb="FF3A3A3A"/>
      <name val="Arial"/>
      <family val="2"/>
    </font>
    <font>
      <b/>
      <sz val="18"/>
      <color rgb="FF000091"/>
      <name val="Arial"/>
      <family val="2"/>
    </font>
    <font>
      <b/>
      <sz val="18"/>
      <color rgb="FF169B62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3E3FD"/>
        <bgColor rgb="FFF5F5FE"/>
      </patternFill>
    </fill>
    <fill>
      <patternFill patternType="solid">
        <fgColor rgb="FFFFFFE0"/>
        <bgColor rgb="FFFFFFFF"/>
      </patternFill>
    </fill>
    <fill>
      <patternFill patternType="solid">
        <fgColor rgb="FF000091"/>
        <bgColor rgb="FF000080"/>
      </patternFill>
    </fill>
    <fill>
      <patternFill patternType="solid">
        <fgColor rgb="FFF5F5F5"/>
        <bgColor rgb="FFF5F5FE"/>
      </patternFill>
    </fill>
    <fill>
      <patternFill patternType="solid">
        <fgColor rgb="FFF5F5FE"/>
        <bgColor rgb="FFF5F5F5"/>
      </patternFill>
    </fill>
    <fill>
      <patternFill patternType="solid">
        <fgColor rgb="FFF3FBF6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left" vertical="center" wrapText="1"/>
    </xf>
    <xf numFmtId="164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4" fillId="3" borderId="0" xfId="0" applyNumberFormat="1" applyFont="1" applyFill="1" applyAlignment="1">
      <alignment horizontal="right" vertical="center"/>
    </xf>
    <xf numFmtId="167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65" fontId="4" fillId="3" borderId="0" xfId="0" applyNumberFormat="1" applyFont="1" applyFill="1" applyAlignment="1">
      <alignment horizontal="right" vertical="center"/>
    </xf>
    <xf numFmtId="168" fontId="4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3" fontId="4" fillId="3" borderId="0" xfId="0" applyNumberFormat="1" applyFont="1" applyFill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70" fontId="7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3" fillId="0" borderId="0" xfId="0" applyFont="1"/>
    <xf numFmtId="0" fontId="8" fillId="5" borderId="0" xfId="0" applyFont="1" applyFill="1" applyAlignment="1">
      <alignment horizontal="left" vertical="center" wrapText="1"/>
    </xf>
    <xf numFmtId="165" fontId="9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165" fontId="10" fillId="6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wrapText="1"/>
    </xf>
    <xf numFmtId="167" fontId="10" fillId="6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horizontal="left" vertical="center" wrapText="1"/>
    </xf>
    <xf numFmtId="170" fontId="11" fillId="7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 wrapText="1"/>
    </xf>
    <xf numFmtId="165" fontId="12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65" fontId="13" fillId="0" borderId="0" xfId="0" applyNumberFormat="1" applyFont="1" applyAlignment="1">
      <alignment horizontal="right" vertical="center"/>
    </xf>
    <xf numFmtId="169" fontId="12" fillId="0" borderId="0" xfId="0" applyNumberFormat="1" applyFont="1" applyAlignment="1">
      <alignment horizontal="right" vertical="center"/>
    </xf>
    <xf numFmtId="170" fontId="12" fillId="0" borderId="0" xfId="0" applyNumberFormat="1" applyFont="1" applyAlignment="1">
      <alignment horizontal="right" vertical="center"/>
    </xf>
    <xf numFmtId="170" fontId="13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13" fillId="7" borderId="0" xfId="0" applyFont="1" applyFill="1" applyAlignment="1">
      <alignment horizontal="right" vertical="center"/>
    </xf>
    <xf numFmtId="0" fontId="13" fillId="7" borderId="0" xfId="0" applyFont="1" applyFill="1"/>
    <xf numFmtId="165" fontId="7" fillId="7" borderId="0" xfId="0" applyNumberFormat="1" applyFont="1" applyFill="1" applyAlignment="1">
      <alignment horizontal="right" vertical="center"/>
    </xf>
    <xf numFmtId="170" fontId="7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1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F3FBF6"/>
      <rgbColor rgb="FF660066"/>
      <rgbColor rgb="FFFF8080"/>
      <rgbColor rgb="FF0066CC"/>
      <rgbColor rgb="FFE3E3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E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69B62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zoomScaleNormal="100" workbookViewId="0">
      <selection sqref="A1:C1"/>
    </sheetView>
  </sheetViews>
  <sheetFormatPr baseColWidth="10" defaultColWidth="8.6640625" defaultRowHeight="15" x14ac:dyDescent="0.2"/>
  <cols>
    <col min="1" max="1" width="38" customWidth="1"/>
    <col min="2" max="2" width="18" customWidth="1"/>
    <col min="3" max="3" width="58" customWidth="1"/>
  </cols>
  <sheetData>
    <row r="1" spans="1:3" ht="18" x14ac:dyDescent="0.2">
      <c r="A1" s="2" t="s">
        <v>0</v>
      </c>
      <c r="B1" s="2"/>
      <c r="C1" s="2"/>
    </row>
    <row r="2" spans="1:3" x14ac:dyDescent="0.2">
      <c r="A2" s="1" t="s">
        <v>1</v>
      </c>
      <c r="B2" s="1"/>
      <c r="C2" s="1"/>
    </row>
    <row r="4" spans="1:3" ht="19.5" customHeight="1" x14ac:dyDescent="0.2">
      <c r="A4" s="4" t="s">
        <v>2</v>
      </c>
      <c r="B4" s="5"/>
      <c r="C4" s="5"/>
    </row>
    <row r="5" spans="1:3" ht="16" x14ac:dyDescent="0.2">
      <c r="A5" s="6" t="s">
        <v>3</v>
      </c>
      <c r="B5" s="7">
        <v>120</v>
      </c>
      <c r="C5" s="8" t="s">
        <v>4</v>
      </c>
    </row>
    <row r="6" spans="1:3" ht="16" x14ac:dyDescent="0.2">
      <c r="A6" s="6" t="s">
        <v>5</v>
      </c>
      <c r="B6" s="9" t="s">
        <v>6</v>
      </c>
      <c r="C6" s="8" t="s">
        <v>7</v>
      </c>
    </row>
    <row r="7" spans="1:3" ht="16" x14ac:dyDescent="0.2">
      <c r="A7" s="6" t="s">
        <v>8</v>
      </c>
      <c r="B7" s="9" t="s">
        <v>9</v>
      </c>
      <c r="C7" s="8" t="s">
        <v>10</v>
      </c>
    </row>
    <row r="8" spans="1:3" ht="16" x14ac:dyDescent="0.2">
      <c r="A8" s="6" t="s">
        <v>11</v>
      </c>
      <c r="B8" s="9" t="s">
        <v>12</v>
      </c>
      <c r="C8" s="8" t="s">
        <v>13</v>
      </c>
    </row>
    <row r="10" spans="1:3" ht="19.5" customHeight="1" x14ac:dyDescent="0.2">
      <c r="A10" s="4" t="s">
        <v>14</v>
      </c>
      <c r="B10" s="5"/>
      <c r="C10" s="5"/>
    </row>
    <row r="11" spans="1:3" ht="16" x14ac:dyDescent="0.2">
      <c r="A11" s="6" t="s">
        <v>15</v>
      </c>
      <c r="B11" s="9" t="s">
        <v>16</v>
      </c>
      <c r="C11" s="8" t="s">
        <v>17</v>
      </c>
    </row>
    <row r="12" spans="1:3" ht="16" x14ac:dyDescent="0.2">
      <c r="A12" s="6" t="s">
        <v>18</v>
      </c>
      <c r="B12" s="9" t="s">
        <v>19</v>
      </c>
      <c r="C12" s="8" t="s">
        <v>20</v>
      </c>
    </row>
    <row r="14" spans="1:3" ht="19.5" customHeight="1" x14ac:dyDescent="0.2">
      <c r="A14" s="4" t="s">
        <v>21</v>
      </c>
      <c r="B14" s="5"/>
      <c r="C14" s="5"/>
    </row>
    <row r="15" spans="1:3" ht="16" x14ac:dyDescent="0.2">
      <c r="A15" s="6" t="s">
        <v>22</v>
      </c>
      <c r="B15" s="10">
        <v>0</v>
      </c>
      <c r="C15" s="8" t="s">
        <v>23</v>
      </c>
    </row>
    <row r="16" spans="1:3" ht="26" x14ac:dyDescent="0.2">
      <c r="A16" s="6" t="s">
        <v>24</v>
      </c>
      <c r="B16" s="11">
        <v>0</v>
      </c>
      <c r="C16" s="8" t="s">
        <v>25</v>
      </c>
    </row>
  </sheetData>
  <mergeCells count="2">
    <mergeCell ref="A1:C1"/>
    <mergeCell ref="A2:C2"/>
  </mergeCells>
  <dataValidations count="5">
    <dataValidation type="list" sqref="B6" xr:uid="{00000000-0002-0000-0000-000000000000}">
      <formula1>"H1,H2,H3"</formula1>
      <formula2>0</formula2>
    </dataValidation>
    <dataValidation type="list" sqref="B7" xr:uid="{00000000-0002-0000-0000-000001000000}">
      <formula1>"passoire,moyen,bon"</formula1>
      <formula2>0</formula2>
    </dataValidation>
    <dataValidation type="list" sqref="B8" xr:uid="{00000000-0002-0000-0000-000002000000}">
      <formula1>"fioul,gaz,propane,elec"</formula1>
      <formula2>0</formula2>
    </dataValidation>
    <dataValidation type="list" sqref="B11" xr:uid="{00000000-0002-0000-0000-000003000000}">
      <formula1>"aireau,geo,airair"</formula1>
      <formula2>0</formula2>
    </dataValidation>
    <dataValidation type="list" sqref="B12" xr:uid="{00000000-0002-0000-0000-000004000000}">
      <formula1>"bleu,jaune,violet,rose"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showGridLines="0" zoomScaleNormal="100" workbookViewId="0"/>
  </sheetViews>
  <sheetFormatPr baseColWidth="10" defaultColWidth="8.6640625" defaultRowHeight="15" x14ac:dyDescent="0.2"/>
  <cols>
    <col min="1" max="1" width="44" customWidth="1"/>
    <col min="2" max="5" width="14" customWidth="1"/>
    <col min="6" max="6" width="55" customWidth="1"/>
  </cols>
  <sheetData>
    <row r="1" spans="1:6" ht="18" x14ac:dyDescent="0.2">
      <c r="A1" s="2" t="s">
        <v>26</v>
      </c>
      <c r="B1" s="2"/>
      <c r="C1" s="2"/>
      <c r="D1" s="2"/>
      <c r="E1" s="2"/>
      <c r="F1" s="2"/>
    </row>
    <row r="2" spans="1:6" x14ac:dyDescent="0.2">
      <c r="A2" s="1" t="s">
        <v>27</v>
      </c>
      <c r="B2" s="1"/>
      <c r="C2" s="1"/>
      <c r="D2" s="1"/>
      <c r="E2" s="1"/>
      <c r="F2" s="1"/>
    </row>
    <row r="4" spans="1:6" ht="19.5" customHeight="1" x14ac:dyDescent="0.2">
      <c r="A4" s="4" t="s">
        <v>28</v>
      </c>
      <c r="B4" s="5"/>
      <c r="C4" s="5"/>
      <c r="D4" s="5"/>
      <c r="E4" s="5"/>
      <c r="F4" s="5"/>
    </row>
    <row r="5" spans="1:6" x14ac:dyDescent="0.2">
      <c r="A5" s="12" t="s">
        <v>29</v>
      </c>
      <c r="B5" s="12" t="s">
        <v>30</v>
      </c>
      <c r="C5" s="12" t="s">
        <v>31</v>
      </c>
      <c r="D5" s="12" t="s">
        <v>32</v>
      </c>
      <c r="E5" s="12" t="s">
        <v>33</v>
      </c>
    </row>
    <row r="6" spans="1:6" x14ac:dyDescent="0.2">
      <c r="A6" s="13" t="s">
        <v>34</v>
      </c>
      <c r="B6" s="14">
        <v>0.11</v>
      </c>
      <c r="C6" s="15">
        <v>0.8</v>
      </c>
      <c r="D6" s="16">
        <v>10</v>
      </c>
      <c r="E6" s="17" t="s">
        <v>35</v>
      </c>
      <c r="F6" s="3" t="s">
        <v>36</v>
      </c>
    </row>
    <row r="7" spans="1:6" x14ac:dyDescent="0.2">
      <c r="A7" s="13" t="s">
        <v>12</v>
      </c>
      <c r="B7" s="14">
        <v>0.126</v>
      </c>
      <c r="C7" s="15">
        <v>0.95</v>
      </c>
      <c r="D7" s="16">
        <v>1</v>
      </c>
      <c r="E7" s="17" t="s">
        <v>37</v>
      </c>
    </row>
    <row r="8" spans="1:6" x14ac:dyDescent="0.2">
      <c r="A8" s="13" t="s">
        <v>38</v>
      </c>
      <c r="B8" s="14">
        <v>0.16</v>
      </c>
      <c r="C8" s="15">
        <v>0.9</v>
      </c>
      <c r="D8" s="16">
        <v>13.8</v>
      </c>
      <c r="E8" s="17" t="s">
        <v>39</v>
      </c>
    </row>
    <row r="9" spans="1:6" x14ac:dyDescent="0.2">
      <c r="A9" s="13" t="s">
        <v>40</v>
      </c>
      <c r="B9" s="14">
        <v>0.19400000000000001</v>
      </c>
      <c r="C9" s="15">
        <v>1</v>
      </c>
      <c r="D9" s="16">
        <v>1</v>
      </c>
      <c r="E9" s="17" t="s">
        <v>37</v>
      </c>
    </row>
    <row r="11" spans="1:6" ht="19.5" customHeight="1" x14ac:dyDescent="0.2">
      <c r="A11" s="4" t="s">
        <v>41</v>
      </c>
      <c r="B11" s="5"/>
      <c r="C11" s="5"/>
      <c r="D11" s="5"/>
      <c r="E11" s="5"/>
      <c r="F11" s="5"/>
    </row>
    <row r="12" spans="1:6" x14ac:dyDescent="0.2">
      <c r="A12" s="12" t="s">
        <v>42</v>
      </c>
      <c r="B12" s="12" t="s">
        <v>43</v>
      </c>
      <c r="C12" s="12" t="s">
        <v>44</v>
      </c>
    </row>
    <row r="13" spans="1:6" x14ac:dyDescent="0.2">
      <c r="A13" s="13" t="s">
        <v>16</v>
      </c>
      <c r="B13" s="16">
        <v>3.8</v>
      </c>
      <c r="C13" s="18">
        <v>14000</v>
      </c>
      <c r="F13" s="3" t="s">
        <v>45</v>
      </c>
    </row>
    <row r="14" spans="1:6" x14ac:dyDescent="0.2">
      <c r="A14" s="13" t="s">
        <v>46</v>
      </c>
      <c r="B14" s="16">
        <v>4.5</v>
      </c>
      <c r="C14" s="18">
        <v>28000</v>
      </c>
    </row>
    <row r="15" spans="1:6" x14ac:dyDescent="0.2">
      <c r="A15" s="13" t="s">
        <v>47</v>
      </c>
      <c r="B15" s="16">
        <v>3.5</v>
      </c>
      <c r="C15" s="18">
        <v>9000</v>
      </c>
    </row>
    <row r="17" spans="1:6" ht="19.5" customHeight="1" x14ac:dyDescent="0.2">
      <c r="A17" s="4" t="s">
        <v>48</v>
      </c>
      <c r="B17" s="5"/>
      <c r="C17" s="5"/>
      <c r="D17" s="5"/>
      <c r="E17" s="5"/>
      <c r="F17" s="5"/>
    </row>
    <row r="18" spans="1:6" x14ac:dyDescent="0.2">
      <c r="A18" s="12" t="s">
        <v>49</v>
      </c>
      <c r="B18" s="12" t="s">
        <v>50</v>
      </c>
    </row>
    <row r="19" spans="1:6" x14ac:dyDescent="0.2">
      <c r="A19" s="13" t="s">
        <v>51</v>
      </c>
      <c r="B19" s="19">
        <v>130</v>
      </c>
      <c r="F19" s="3" t="s">
        <v>52</v>
      </c>
    </row>
    <row r="20" spans="1:6" x14ac:dyDescent="0.2">
      <c r="A20" s="13" t="s">
        <v>6</v>
      </c>
      <c r="B20" s="19">
        <v>110</v>
      </c>
    </row>
    <row r="21" spans="1:6" x14ac:dyDescent="0.2">
      <c r="A21" s="13" t="s">
        <v>53</v>
      </c>
      <c r="B21" s="19">
        <v>90</v>
      </c>
    </row>
    <row r="23" spans="1:6" ht="19.5" customHeight="1" x14ac:dyDescent="0.2">
      <c r="A23" s="4" t="s">
        <v>54</v>
      </c>
      <c r="B23" s="5"/>
      <c r="C23" s="5"/>
      <c r="D23" s="5"/>
      <c r="E23" s="5"/>
      <c r="F23" s="5"/>
    </row>
    <row r="24" spans="1:6" x14ac:dyDescent="0.2">
      <c r="A24" s="12" t="s">
        <v>55</v>
      </c>
      <c r="B24" s="12" t="s">
        <v>56</v>
      </c>
    </row>
    <row r="25" spans="1:6" x14ac:dyDescent="0.2">
      <c r="A25" s="13" t="s">
        <v>57</v>
      </c>
      <c r="B25" s="16">
        <v>1.5</v>
      </c>
      <c r="F25" s="3" t="s">
        <v>58</v>
      </c>
    </row>
    <row r="26" spans="1:6" x14ac:dyDescent="0.2">
      <c r="A26" s="13" t="s">
        <v>9</v>
      </c>
      <c r="B26" s="16">
        <v>1</v>
      </c>
    </row>
    <row r="27" spans="1:6" x14ac:dyDescent="0.2">
      <c r="A27" s="13" t="s">
        <v>59</v>
      </c>
      <c r="B27" s="16">
        <v>0.65</v>
      </c>
    </row>
    <row r="29" spans="1:6" ht="19.5" customHeight="1" x14ac:dyDescent="0.2">
      <c r="A29" s="4" t="s">
        <v>60</v>
      </c>
      <c r="B29" s="5"/>
      <c r="C29" s="5"/>
      <c r="D29" s="5"/>
      <c r="E29" s="5"/>
      <c r="F29" s="5"/>
    </row>
    <row r="30" spans="1:6" x14ac:dyDescent="0.2">
      <c r="A30" s="12" t="s">
        <v>61</v>
      </c>
      <c r="B30" s="12" t="s">
        <v>62</v>
      </c>
      <c r="C30" s="12" t="s">
        <v>63</v>
      </c>
      <c r="D30" s="12" t="s">
        <v>64</v>
      </c>
      <c r="E30" s="12" t="s">
        <v>65</v>
      </c>
    </row>
    <row r="31" spans="1:6" x14ac:dyDescent="0.2">
      <c r="A31" s="13" t="s">
        <v>16</v>
      </c>
      <c r="B31" s="18">
        <v>5000</v>
      </c>
      <c r="C31" s="18">
        <v>4000</v>
      </c>
      <c r="D31" s="18">
        <v>3000</v>
      </c>
      <c r="E31" s="18">
        <v>0</v>
      </c>
      <c r="F31" s="3" t="s">
        <v>66</v>
      </c>
    </row>
    <row r="32" spans="1:6" x14ac:dyDescent="0.2">
      <c r="A32" s="13" t="s">
        <v>46</v>
      </c>
      <c r="B32" s="18">
        <v>11000</v>
      </c>
      <c r="C32" s="18">
        <v>9000</v>
      </c>
      <c r="D32" s="18">
        <v>6000</v>
      </c>
      <c r="E32" s="18">
        <v>0</v>
      </c>
    </row>
    <row r="33" spans="1:6" x14ac:dyDescent="0.2">
      <c r="A33" s="13" t="s">
        <v>47</v>
      </c>
      <c r="B33" s="18">
        <v>0</v>
      </c>
      <c r="C33" s="18">
        <v>0</v>
      </c>
      <c r="D33" s="18">
        <v>0</v>
      </c>
      <c r="E33" s="18">
        <v>0</v>
      </c>
    </row>
    <row r="35" spans="1:6" ht="19.5" customHeight="1" x14ac:dyDescent="0.2">
      <c r="A35" s="4" t="s">
        <v>67</v>
      </c>
      <c r="B35" s="5"/>
      <c r="C35" s="5"/>
      <c r="D35" s="5"/>
      <c r="E35" s="5"/>
      <c r="F35" s="5"/>
    </row>
    <row r="36" spans="1:6" x14ac:dyDescent="0.2">
      <c r="A36" s="20" t="s">
        <v>68</v>
      </c>
      <c r="B36" s="18">
        <v>12000</v>
      </c>
      <c r="F36" s="8" t="s">
        <v>69</v>
      </c>
    </row>
    <row r="37" spans="1:6" x14ac:dyDescent="0.2">
      <c r="A37" s="20" t="s">
        <v>70</v>
      </c>
      <c r="B37" s="18">
        <v>20000</v>
      </c>
      <c r="F37" s="8" t="s">
        <v>69</v>
      </c>
    </row>
    <row r="38" spans="1:6" x14ac:dyDescent="0.2">
      <c r="A38" s="20" t="s">
        <v>71</v>
      </c>
      <c r="B38" s="18">
        <v>0</v>
      </c>
      <c r="F38" s="8" t="s">
        <v>72</v>
      </c>
    </row>
    <row r="40" spans="1:6" ht="19.5" customHeight="1" x14ac:dyDescent="0.2">
      <c r="A40" s="4" t="s">
        <v>73</v>
      </c>
      <c r="B40" s="5"/>
      <c r="C40" s="5"/>
      <c r="D40" s="5"/>
      <c r="E40" s="5"/>
      <c r="F40" s="5"/>
    </row>
    <row r="41" spans="1:6" x14ac:dyDescent="0.2">
      <c r="A41" s="12" t="s">
        <v>74</v>
      </c>
      <c r="B41" s="12" t="s">
        <v>75</v>
      </c>
      <c r="C41" s="12" t="s">
        <v>76</v>
      </c>
      <c r="D41" s="12" t="s">
        <v>19</v>
      </c>
      <c r="E41" s="12" t="s">
        <v>77</v>
      </c>
    </row>
    <row r="42" spans="1:6" x14ac:dyDescent="0.2">
      <c r="A42" s="13" t="s">
        <v>78</v>
      </c>
      <c r="B42" s="18">
        <v>5000</v>
      </c>
      <c r="C42" s="18">
        <v>5000</v>
      </c>
      <c r="D42" s="18">
        <v>4000</v>
      </c>
      <c r="E42" s="18">
        <v>2500</v>
      </c>
      <c r="F42" s="3" t="s">
        <v>79</v>
      </c>
    </row>
    <row r="43" spans="1:6" x14ac:dyDescent="0.2">
      <c r="A43" s="13" t="s">
        <v>80</v>
      </c>
      <c r="B43" s="18">
        <v>1000</v>
      </c>
      <c r="C43" s="18">
        <v>1000</v>
      </c>
      <c r="D43" s="18">
        <v>800</v>
      </c>
      <c r="E43" s="18">
        <v>500</v>
      </c>
    </row>
    <row r="45" spans="1:6" ht="19.5" customHeight="1" x14ac:dyDescent="0.2">
      <c r="A45" s="4" t="s">
        <v>81</v>
      </c>
      <c r="B45" s="5"/>
      <c r="C45" s="5"/>
      <c r="D45" s="5"/>
      <c r="E45" s="5"/>
      <c r="F45" s="5"/>
    </row>
    <row r="46" spans="1:6" x14ac:dyDescent="0.2">
      <c r="A46" s="12" t="s">
        <v>82</v>
      </c>
      <c r="B46" s="12" t="s">
        <v>83</v>
      </c>
    </row>
    <row r="47" spans="1:6" x14ac:dyDescent="0.2">
      <c r="A47" s="13" t="s">
        <v>75</v>
      </c>
      <c r="B47" s="18">
        <v>1200</v>
      </c>
      <c r="F47" s="3" t="s">
        <v>84</v>
      </c>
    </row>
    <row r="48" spans="1:6" x14ac:dyDescent="0.2">
      <c r="A48" s="13" t="s">
        <v>76</v>
      </c>
      <c r="B48" s="18">
        <v>800</v>
      </c>
    </row>
    <row r="49" spans="1:6" x14ac:dyDescent="0.2">
      <c r="A49" s="13" t="s">
        <v>19</v>
      </c>
      <c r="B49" s="18">
        <v>400</v>
      </c>
    </row>
    <row r="50" spans="1:6" x14ac:dyDescent="0.2">
      <c r="A50" s="13" t="s">
        <v>77</v>
      </c>
      <c r="B50" s="18">
        <v>0</v>
      </c>
    </row>
    <row r="52" spans="1:6" ht="19.5" customHeight="1" x14ac:dyDescent="0.2">
      <c r="A52" s="4" t="s">
        <v>85</v>
      </c>
      <c r="B52" s="5"/>
      <c r="C52" s="5"/>
      <c r="D52" s="5"/>
      <c r="E52" s="5"/>
      <c r="F52" s="5"/>
    </row>
    <row r="53" spans="1:6" x14ac:dyDescent="0.2">
      <c r="A53" s="20" t="s">
        <v>86</v>
      </c>
      <c r="B53" s="21">
        <v>15</v>
      </c>
      <c r="F53" s="8" t="s">
        <v>87</v>
      </c>
    </row>
    <row r="54" spans="1:6" x14ac:dyDescent="0.2">
      <c r="A54" s="20" t="s">
        <v>88</v>
      </c>
      <c r="B54" s="15">
        <v>0.03</v>
      </c>
      <c r="F54" s="8" t="s">
        <v>89</v>
      </c>
    </row>
    <row r="55" spans="1:6" x14ac:dyDescent="0.2">
      <c r="A55" s="20" t="s">
        <v>90</v>
      </c>
      <c r="B55" s="15">
        <v>0.9</v>
      </c>
      <c r="F55" s="8" t="s">
        <v>91</v>
      </c>
    </row>
    <row r="57" spans="1:6" ht="19.5" customHeight="1" x14ac:dyDescent="0.2">
      <c r="A57" s="4" t="s">
        <v>92</v>
      </c>
      <c r="B57" s="5"/>
      <c r="C57" s="5"/>
      <c r="D57" s="5"/>
      <c r="E57" s="5"/>
      <c r="F57" s="5"/>
    </row>
    <row r="58" spans="1:6" x14ac:dyDescent="0.2">
      <c r="A58" s="20" t="s">
        <v>93</v>
      </c>
      <c r="B58" s="18">
        <v>8000</v>
      </c>
      <c r="F58" s="8" t="s">
        <v>94</v>
      </c>
    </row>
    <row r="59" spans="1:6" x14ac:dyDescent="0.2">
      <c r="A59" s="20" t="s">
        <v>95</v>
      </c>
      <c r="B59" s="18">
        <v>5000</v>
      </c>
    </row>
    <row r="60" spans="1:6" x14ac:dyDescent="0.2">
      <c r="A60" s="20" t="s">
        <v>96</v>
      </c>
      <c r="B60" s="18">
        <v>7000</v>
      </c>
    </row>
    <row r="61" spans="1:6" x14ac:dyDescent="0.2">
      <c r="A61" s="20" t="s">
        <v>97</v>
      </c>
      <c r="B61" s="18">
        <v>2000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showGridLines="0" zoomScaleNormal="100" workbookViewId="0"/>
  </sheetViews>
  <sheetFormatPr baseColWidth="10" defaultColWidth="8.6640625" defaultRowHeight="15" x14ac:dyDescent="0.2"/>
  <cols>
    <col min="1" max="1" width="50" customWidth="1"/>
    <col min="2" max="2" width="18" customWidth="1"/>
    <col min="3" max="3" width="60" customWidth="1"/>
  </cols>
  <sheetData>
    <row r="1" spans="1:3" ht="18" x14ac:dyDescent="0.2">
      <c r="A1" s="2" t="s">
        <v>98</v>
      </c>
      <c r="B1" s="2"/>
      <c r="C1" s="2"/>
    </row>
    <row r="2" spans="1:3" x14ac:dyDescent="0.2">
      <c r="A2" s="1" t="s">
        <v>99</v>
      </c>
      <c r="B2" s="1"/>
      <c r="C2" s="1"/>
    </row>
    <row r="4" spans="1:3" ht="19.5" customHeight="1" x14ac:dyDescent="0.2">
      <c r="A4" s="4" t="s">
        <v>100</v>
      </c>
      <c r="B4" s="5"/>
      <c r="C4" s="5"/>
    </row>
    <row r="5" spans="1:3" ht="16" x14ac:dyDescent="0.2">
      <c r="A5" s="6" t="s">
        <v>101</v>
      </c>
      <c r="B5" s="22">
        <f>VLOOKUP(Saisies!$B$8,Hypothèses!$A$6:$E$9,2,FALSE())</f>
        <v>0.126</v>
      </c>
      <c r="C5" s="8" t="s">
        <v>102</v>
      </c>
    </row>
    <row r="6" spans="1:3" ht="16" x14ac:dyDescent="0.2">
      <c r="A6" s="6" t="s">
        <v>103</v>
      </c>
      <c r="B6" s="23">
        <f>VLOOKUP(Saisies!$B$8,Hypothèses!$A$6:$E$9,3,FALSE())</f>
        <v>0.95</v>
      </c>
      <c r="C6" s="8" t="s">
        <v>104</v>
      </c>
    </row>
    <row r="7" spans="1:3" ht="16" x14ac:dyDescent="0.2">
      <c r="A7" s="6" t="s">
        <v>105</v>
      </c>
      <c r="B7" s="24">
        <f>VLOOKUP(Saisies!$B$8,Hypothèses!$A$6:$E$9,4,FALSE())</f>
        <v>1</v>
      </c>
      <c r="C7" s="8" t="s">
        <v>106</v>
      </c>
    </row>
    <row r="8" spans="1:3" ht="16" x14ac:dyDescent="0.2">
      <c r="A8" s="6" t="s">
        <v>107</v>
      </c>
      <c r="B8" s="22">
        <f>VLOOKUP("elec",Hypothèses!$A$6:$E$9,2,FALSE())</f>
        <v>0.19400000000000001</v>
      </c>
      <c r="C8" s="8" t="s">
        <v>108</v>
      </c>
    </row>
    <row r="9" spans="1:3" ht="16" x14ac:dyDescent="0.2">
      <c r="A9" s="6" t="s">
        <v>109</v>
      </c>
      <c r="B9" s="24">
        <f>VLOOKUP(Saisies!$B$11,Hypothèses!$A$13:$C$15,2,FALSE())</f>
        <v>3.8</v>
      </c>
      <c r="C9" s="8" t="s">
        <v>110</v>
      </c>
    </row>
    <row r="10" spans="1:3" ht="16" x14ac:dyDescent="0.2">
      <c r="A10" s="6" t="s">
        <v>111</v>
      </c>
      <c r="B10" s="25">
        <f>VLOOKUP(Saisies!$B$11,Hypothèses!$A$13:$C$15,3,FALSE())</f>
        <v>14000</v>
      </c>
      <c r="C10" s="8" t="s">
        <v>112</v>
      </c>
    </row>
    <row r="11" spans="1:3" ht="16" x14ac:dyDescent="0.2">
      <c r="A11" s="6" t="s">
        <v>113</v>
      </c>
      <c r="B11" s="26">
        <f>VLOOKUP(Saisies!$B$6,Hypothèses!$A$19:$B$21,2,FALSE())</f>
        <v>110</v>
      </c>
      <c r="C11" s="8" t="s">
        <v>114</v>
      </c>
    </row>
    <row r="12" spans="1:3" ht="16" x14ac:dyDescent="0.2">
      <c r="A12" s="6" t="s">
        <v>115</v>
      </c>
      <c r="B12" s="24">
        <f>VLOOKUP(Saisies!$B$7,Hypothèses!$A$25:$B$27,2,FALSE())</f>
        <v>1</v>
      </c>
      <c r="C12" s="8" t="s">
        <v>116</v>
      </c>
    </row>
    <row r="13" spans="1:3" ht="16" x14ac:dyDescent="0.2">
      <c r="A13" s="6" t="s">
        <v>117</v>
      </c>
      <c r="B13" s="27">
        <f>MATCH(Saisies!$B$11,{"aireau";"geo";"airair"},0)</f>
        <v>1</v>
      </c>
      <c r="C13" s="8" t="s">
        <v>118</v>
      </c>
    </row>
    <row r="14" spans="1:3" ht="16" x14ac:dyDescent="0.2">
      <c r="A14" s="6" t="s">
        <v>119</v>
      </c>
      <c r="B14" s="27">
        <f>MATCH(Saisies!$B$12,{"bleu";"jaune";"violet";"rose"},0)</f>
        <v>3</v>
      </c>
      <c r="C14" s="8" t="s">
        <v>120</v>
      </c>
    </row>
    <row r="16" spans="1:3" ht="19.5" customHeight="1" x14ac:dyDescent="0.2">
      <c r="A16" s="4" t="s">
        <v>121</v>
      </c>
      <c r="B16" s="5"/>
      <c r="C16" s="5"/>
    </row>
    <row r="17" spans="1:3" ht="16" x14ac:dyDescent="0.2">
      <c r="A17" s="6" t="s">
        <v>122</v>
      </c>
      <c r="B17" s="27">
        <f>IF(OR(Saisies!$B$15&gt;0,Saisies!$B$16&gt;0),1,0)</f>
        <v>0</v>
      </c>
      <c r="C17" s="8" t="s">
        <v>123</v>
      </c>
    </row>
    <row r="18" spans="1:3" ht="16" x14ac:dyDescent="0.2">
      <c r="A18" s="6" t="s">
        <v>124</v>
      </c>
      <c r="B18" s="28">
        <f>IF(Saisies!$B$15&gt;0,Saisies!$B$15/Calculs!$B$5,0)</f>
        <v>0</v>
      </c>
      <c r="C18" s="8" t="s">
        <v>125</v>
      </c>
    </row>
    <row r="19" spans="1:3" ht="16" x14ac:dyDescent="0.2">
      <c r="A19" s="6" t="s">
        <v>126</v>
      </c>
      <c r="B19" s="28">
        <f>IF(AND(Saisies!$B$15=0,Saisies!$B$16&gt;0),Saisies!$B$16*Calculs!$B$7,0)</f>
        <v>0</v>
      </c>
      <c r="C19" s="8" t="s">
        <v>127</v>
      </c>
    </row>
    <row r="20" spans="1:3" ht="16" x14ac:dyDescent="0.2">
      <c r="A20" s="6" t="s">
        <v>128</v>
      </c>
      <c r="B20" s="28">
        <f>IF(Calculs!$B$17=1,(Calculs!$B$18+Calculs!$B$19)*Calculs!$B$6,0)</f>
        <v>0</v>
      </c>
      <c r="C20" s="8" t="s">
        <v>129</v>
      </c>
    </row>
    <row r="21" spans="1:3" ht="16" x14ac:dyDescent="0.2">
      <c r="A21" s="6" t="s">
        <v>130</v>
      </c>
      <c r="B21" s="28">
        <f>Saisies!$B$5*Calculs!$B$11*Calculs!$B$12</f>
        <v>13200</v>
      </c>
      <c r="C21" s="8" t="s">
        <v>131</v>
      </c>
    </row>
    <row r="22" spans="1:3" ht="16" x14ac:dyDescent="0.2">
      <c r="A22" s="6" t="s">
        <v>132</v>
      </c>
      <c r="B22" s="29">
        <f>IF(Calculs!$B$17=1,Calculs!$B$20,Calculs!$B$21)</f>
        <v>13200</v>
      </c>
      <c r="C22" s="8" t="s">
        <v>133</v>
      </c>
    </row>
    <row r="24" spans="1:3" ht="19.5" customHeight="1" x14ac:dyDescent="0.2">
      <c r="A24" s="4" t="s">
        <v>134</v>
      </c>
      <c r="B24" s="5"/>
      <c r="C24" s="5"/>
    </row>
    <row r="25" spans="1:3" ht="16" x14ac:dyDescent="0.2">
      <c r="A25" s="6" t="s">
        <v>135</v>
      </c>
      <c r="B25" s="28">
        <f>Calculs!$B$22/VLOOKUP("fioul",Hypothèses!$A$6:$E$9,3,FALSE())</f>
        <v>16500</v>
      </c>
    </row>
    <row r="26" spans="1:3" ht="16" x14ac:dyDescent="0.2">
      <c r="A26" s="6" t="s">
        <v>136</v>
      </c>
      <c r="B26" s="28">
        <f>Calculs!$B$22/VLOOKUP("gaz",Hypothèses!$A$6:$E$9,3,FALSE())</f>
        <v>13894.736842105263</v>
      </c>
    </row>
    <row r="27" spans="1:3" ht="16" x14ac:dyDescent="0.2">
      <c r="A27" s="6" t="s">
        <v>137</v>
      </c>
      <c r="B27" s="28">
        <f>Calculs!$B$22/VLOOKUP("propane",Hypothèses!$A$6:$E$9,3,FALSE())</f>
        <v>14666.666666666666</v>
      </c>
    </row>
    <row r="28" spans="1:3" ht="16" x14ac:dyDescent="0.2">
      <c r="A28" s="6" t="s">
        <v>138</v>
      </c>
      <c r="B28" s="28">
        <f>Calculs!$B$22/VLOOKUP("elec",Hypothèses!$A$6:$E$9,3,FALSE())</f>
        <v>13200</v>
      </c>
    </row>
    <row r="29" spans="1:3" ht="16" x14ac:dyDescent="0.2">
      <c r="A29" s="6" t="s">
        <v>139</v>
      </c>
      <c r="B29" s="28">
        <f>Calculs!$B$22/Calculs!$B$9</f>
        <v>3473.6842105263158</v>
      </c>
      <c r="C29" s="8" t="s">
        <v>140</v>
      </c>
    </row>
    <row r="30" spans="1:3" ht="16" x14ac:dyDescent="0.2">
      <c r="A30" s="6" t="s">
        <v>141</v>
      </c>
      <c r="B30" s="30">
        <f>Calculs!$B$22/VLOOKUP("fioul",Hypothèses!$A$6:$E$9,3,FALSE())*VLOOKUP("fioul",Hypothèses!$A$6:$E$9,2,FALSE())</f>
        <v>1815</v>
      </c>
    </row>
    <row r="31" spans="1:3" ht="16" x14ac:dyDescent="0.2">
      <c r="A31" s="6" t="s">
        <v>142</v>
      </c>
      <c r="B31" s="30">
        <f>Calculs!$B$22/VLOOKUP("gaz",Hypothèses!$A$6:$E$9,3,FALSE())*VLOOKUP("gaz",Hypothèses!$A$6:$E$9,2,FALSE())</f>
        <v>1750.7368421052631</v>
      </c>
    </row>
    <row r="32" spans="1:3" ht="16" x14ac:dyDescent="0.2">
      <c r="A32" s="6" t="s">
        <v>143</v>
      </c>
      <c r="B32" s="30">
        <f>Calculs!$B$22/VLOOKUP("propane",Hypothèses!$A$6:$E$9,3,FALSE())*VLOOKUP("propane",Hypothèses!$A$6:$E$9,2,FALSE())</f>
        <v>2346.6666666666665</v>
      </c>
    </row>
    <row r="33" spans="1:3" ht="16" x14ac:dyDescent="0.2">
      <c r="A33" s="6" t="s">
        <v>144</v>
      </c>
      <c r="B33" s="30">
        <f>Calculs!$B$22/VLOOKUP("elec",Hypothèses!$A$6:$E$9,3,FALSE())*VLOOKUP("elec",Hypothèses!$A$6:$E$9,2,FALSE())</f>
        <v>2560.8000000000002</v>
      </c>
    </row>
    <row r="34" spans="1:3" ht="16" x14ac:dyDescent="0.2">
      <c r="A34" s="6" t="s">
        <v>145</v>
      </c>
      <c r="B34" s="31">
        <f>Calculs!$B$29*Calculs!$B$8</f>
        <v>673.89473684210532</v>
      </c>
      <c r="C34" s="8" t="s">
        <v>146</v>
      </c>
    </row>
    <row r="35" spans="1:3" ht="16" x14ac:dyDescent="0.2">
      <c r="A35" s="6" t="s">
        <v>147</v>
      </c>
      <c r="B35" s="31">
        <f>IF(Saisies!$B$15&gt;0,Saisies!$B$15,IF(Saisies!$B$8="fioul",Calculs!$B$30,IF(Saisies!$B$8="gaz",Calculs!$B$31,IF(Saisies!$B$8="propane",Calculs!$B$32,Calculs!$B$33))))</f>
        <v>1750.7368421052631</v>
      </c>
      <c r="C35" s="8" t="s">
        <v>148</v>
      </c>
    </row>
    <row r="37" spans="1:3" ht="19.5" customHeight="1" x14ac:dyDescent="0.2">
      <c r="A37" s="4" t="s">
        <v>149</v>
      </c>
      <c r="B37" s="5"/>
      <c r="C37" s="5"/>
    </row>
    <row r="38" spans="1:3" ht="16" x14ac:dyDescent="0.2">
      <c r="A38" s="6" t="s">
        <v>150</v>
      </c>
      <c r="B38" s="27">
        <f>IF(OR(Saisies!$B$8="fioul",Saisies!$B$8="gaz",Saisies!$B$8="propane"),1,0)</f>
        <v>1</v>
      </c>
      <c r="C38" s="8" t="s">
        <v>151</v>
      </c>
    </row>
    <row r="39" spans="1:3" ht="16" x14ac:dyDescent="0.2">
      <c r="A39" s="6" t="s">
        <v>152</v>
      </c>
      <c r="B39" s="27">
        <f>IF(AND(Calculs!$B$38=1,Saisies!$B$11&lt;&gt;"airair"),1,0)</f>
        <v>1</v>
      </c>
    </row>
    <row r="40" spans="1:3" ht="16" x14ac:dyDescent="0.2">
      <c r="A40" s="6" t="s">
        <v>153</v>
      </c>
      <c r="B40" s="25">
        <f>INDEX(Hypothèses!$A$31:$E$33,Calculs!$B$13,Calculs!$B$14+1)</f>
        <v>3000</v>
      </c>
      <c r="C40" s="8" t="s">
        <v>154</v>
      </c>
    </row>
    <row r="41" spans="1:3" ht="16" x14ac:dyDescent="0.2">
      <c r="A41" s="6" t="s">
        <v>155</v>
      </c>
      <c r="B41" s="25">
        <f>INDEX(Hypothèses!$A$42:$E$43,1,Calculs!$B$14+1)</f>
        <v>4000</v>
      </c>
      <c r="C41" s="8" t="s">
        <v>156</v>
      </c>
    </row>
    <row r="42" spans="1:3" ht="16" x14ac:dyDescent="0.2">
      <c r="A42" s="6" t="s">
        <v>157</v>
      </c>
      <c r="B42" s="25">
        <f>INDEX(Hypothèses!$A$42:$E$43,2,Calculs!$B$14+1)</f>
        <v>800</v>
      </c>
    </row>
    <row r="43" spans="1:3" ht="16" x14ac:dyDescent="0.2">
      <c r="A43" s="6" t="s">
        <v>158</v>
      </c>
      <c r="B43" s="25">
        <f>IF(Calculs!$B$39=1,Calculs!$B$41,Calculs!$B$42)</f>
        <v>4000</v>
      </c>
      <c r="C43" s="8" t="s">
        <v>159</v>
      </c>
    </row>
    <row r="44" spans="1:3" ht="16" x14ac:dyDescent="0.2">
      <c r="A44" s="6" t="s">
        <v>160</v>
      </c>
      <c r="B44" s="25">
        <f>INDEX(Hypothèses!$A$47:$B$50,Calculs!$B$14,2)</f>
        <v>400</v>
      </c>
      <c r="C44" s="8" t="s">
        <v>161</v>
      </c>
    </row>
    <row r="45" spans="1:3" ht="16" x14ac:dyDescent="0.2">
      <c r="A45" s="6" t="s">
        <v>162</v>
      </c>
      <c r="B45" s="25">
        <f>IF(AND(Saisies!$B$8="fioul",Saisies!$B$11&lt;&gt;"airair"),Calculs!$B$44,0)</f>
        <v>0</v>
      </c>
      <c r="C45" s="8" t="s">
        <v>163</v>
      </c>
    </row>
    <row r="46" spans="1:3" ht="16" x14ac:dyDescent="0.2">
      <c r="A46" s="6" t="s">
        <v>164</v>
      </c>
      <c r="B46" s="25">
        <f>Calculs!$B$40+Calculs!$B$43+Calculs!$B$45</f>
        <v>7000</v>
      </c>
    </row>
    <row r="47" spans="1:3" ht="16" x14ac:dyDescent="0.2">
      <c r="A47" s="6" t="s">
        <v>165</v>
      </c>
      <c r="B47" s="25">
        <f>Calculs!$B$10*Hypothèses!$B$55</f>
        <v>12600</v>
      </c>
      <c r="C47" s="8" t="s">
        <v>166</v>
      </c>
    </row>
    <row r="48" spans="1:3" ht="16" x14ac:dyDescent="0.2">
      <c r="A48" s="6" t="s">
        <v>167</v>
      </c>
      <c r="B48" s="32">
        <f>MIN(Calculs!$B$46,Calculs!$B$47)</f>
        <v>7000</v>
      </c>
      <c r="C48" s="8" t="s">
        <v>168</v>
      </c>
    </row>
    <row r="49" spans="1:3" ht="16" x14ac:dyDescent="0.2">
      <c r="A49" s="6" t="s">
        <v>169</v>
      </c>
      <c r="B49" s="32">
        <f>MAX(0,Calculs!$B$10-Calculs!$B$48)</f>
        <v>7000</v>
      </c>
    </row>
    <row r="50" spans="1:3" ht="16" x14ac:dyDescent="0.2">
      <c r="A50" s="6" t="s">
        <v>170</v>
      </c>
      <c r="B50" s="31">
        <f>Calculs!$B$35-Calculs!$B$34</f>
        <v>1076.8421052631579</v>
      </c>
      <c r="C50" s="8" t="s">
        <v>171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5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42" customWidth="1"/>
    <col min="3" max="3" width="22" customWidth="1"/>
    <col min="4" max="4" width="56" customWidth="1"/>
  </cols>
  <sheetData>
    <row r="1" spans="2:4" ht="18" x14ac:dyDescent="0.2">
      <c r="B1" s="2" t="s">
        <v>172</v>
      </c>
      <c r="C1" s="2"/>
      <c r="D1" s="2"/>
    </row>
    <row r="2" spans="2:4" x14ac:dyDescent="0.2">
      <c r="B2" s="1" t="s">
        <v>173</v>
      </c>
      <c r="C2" s="1"/>
      <c r="D2" s="1"/>
    </row>
    <row r="4" spans="2:4" ht="19.5" customHeight="1" x14ac:dyDescent="0.2">
      <c r="B4" s="33" t="s">
        <v>174</v>
      </c>
    </row>
    <row r="5" spans="2:4" ht="31.5" customHeight="1" x14ac:dyDescent="0.2">
      <c r="B5" s="34" t="s">
        <v>175</v>
      </c>
      <c r="C5" s="35">
        <f>Calculs!$B$10</f>
        <v>14000</v>
      </c>
      <c r="D5" s="36" t="s">
        <v>176</v>
      </c>
    </row>
    <row r="6" spans="2:4" ht="31.5" customHeight="1" x14ac:dyDescent="0.2">
      <c r="B6" s="37" t="s">
        <v>177</v>
      </c>
      <c r="C6" s="38">
        <f>Calculs!$B$48</f>
        <v>7000</v>
      </c>
      <c r="D6" s="39" t="s">
        <v>178</v>
      </c>
    </row>
    <row r="7" spans="2:4" ht="31.5" customHeight="1" x14ac:dyDescent="0.2">
      <c r="B7" s="37" t="s">
        <v>179</v>
      </c>
      <c r="C7" s="40">
        <f>IF(Calculs!$B$10&gt;0,Calculs!$B$48/Calculs!$B$10,0)</f>
        <v>0.5</v>
      </c>
      <c r="D7" s="39" t="s">
        <v>180</v>
      </c>
    </row>
    <row r="8" spans="2:4" ht="31.5" customHeight="1" x14ac:dyDescent="0.2">
      <c r="B8" s="34" t="s">
        <v>181</v>
      </c>
      <c r="C8" s="35">
        <f>Calculs!$B$49</f>
        <v>7000</v>
      </c>
      <c r="D8" s="36" t="s">
        <v>182</v>
      </c>
    </row>
    <row r="9" spans="2:4" ht="31.5" customHeight="1" x14ac:dyDescent="0.2">
      <c r="B9" s="41" t="s">
        <v>183</v>
      </c>
      <c r="C9" s="42">
        <f>Calculs!$B$50</f>
        <v>1076.8421052631579</v>
      </c>
      <c r="D9" s="43" t="s">
        <v>184</v>
      </c>
    </row>
    <row r="12" spans="2:4" ht="19.5" customHeight="1" x14ac:dyDescent="0.2">
      <c r="B12" s="33" t="s">
        <v>185</v>
      </c>
    </row>
    <row r="13" spans="2:4" x14ac:dyDescent="0.2">
      <c r="B13" s="12" t="s">
        <v>186</v>
      </c>
      <c r="C13" s="12" t="s">
        <v>83</v>
      </c>
      <c r="D13" s="12" t="s">
        <v>187</v>
      </c>
    </row>
    <row r="14" spans="2:4" ht="16" x14ac:dyDescent="0.2">
      <c r="B14" s="6" t="s">
        <v>188</v>
      </c>
      <c r="C14" s="44">
        <f>Calculs!$B$40</f>
        <v>3000</v>
      </c>
      <c r="D14" s="8" t="s">
        <v>189</v>
      </c>
    </row>
    <row r="15" spans="2:4" ht="16" x14ac:dyDescent="0.2">
      <c r="B15" s="6" t="s">
        <v>190</v>
      </c>
      <c r="C15" s="44">
        <f>Calculs!$B$43</f>
        <v>4000</v>
      </c>
      <c r="D15" s="8" t="s">
        <v>191</v>
      </c>
    </row>
    <row r="16" spans="2:4" ht="16" x14ac:dyDescent="0.2">
      <c r="B16" s="6" t="s">
        <v>192</v>
      </c>
      <c r="C16" s="44">
        <f>Calculs!$B$45</f>
        <v>0</v>
      </c>
      <c r="D16" s="8" t="s">
        <v>193</v>
      </c>
    </row>
    <row r="17" spans="2:4" ht="16" x14ac:dyDescent="0.2">
      <c r="B17" s="6" t="s">
        <v>194</v>
      </c>
      <c r="C17" s="44">
        <f>Calculs!$B$46</f>
        <v>7000</v>
      </c>
      <c r="D17" s="8" t="s">
        <v>195</v>
      </c>
    </row>
    <row r="18" spans="2:4" ht="16" x14ac:dyDescent="0.2">
      <c r="B18" s="6" t="s">
        <v>196</v>
      </c>
      <c r="C18" s="44">
        <f>Calculs!$B$47</f>
        <v>12600</v>
      </c>
      <c r="D18" s="8" t="s">
        <v>166</v>
      </c>
    </row>
    <row r="19" spans="2:4" x14ac:dyDescent="0.2">
      <c r="B19" s="45" t="s">
        <v>197</v>
      </c>
      <c r="C19" s="46">
        <f>Calculs!$B$48</f>
        <v>7000</v>
      </c>
      <c r="D19" s="8" t="s">
        <v>198</v>
      </c>
    </row>
    <row r="21" spans="2:4" ht="19.5" customHeight="1" x14ac:dyDescent="0.2">
      <c r="B21" s="33" t="s">
        <v>199</v>
      </c>
    </row>
    <row r="22" spans="2:4" ht="16" x14ac:dyDescent="0.2">
      <c r="B22" s="6" t="s">
        <v>200</v>
      </c>
      <c r="C22" s="47">
        <f>Calculs!$B$22</f>
        <v>13200</v>
      </c>
      <c r="D22" s="8" t="s">
        <v>201</v>
      </c>
    </row>
    <row r="23" spans="2:4" ht="16" x14ac:dyDescent="0.2">
      <c r="B23" s="6" t="s">
        <v>202</v>
      </c>
      <c r="C23" s="48">
        <f>Calculs!$B$35</f>
        <v>1750.7368421052631</v>
      </c>
      <c r="D23" s="8"/>
    </row>
    <row r="24" spans="2:4" ht="16" x14ac:dyDescent="0.2">
      <c r="B24" s="6" t="s">
        <v>203</v>
      </c>
      <c r="C24" s="48">
        <f>Calculs!$B$34</f>
        <v>673.89473684210532</v>
      </c>
      <c r="D24" s="8" t="s">
        <v>146</v>
      </c>
    </row>
    <row r="25" spans="2:4" x14ac:dyDescent="0.2">
      <c r="B25" s="45" t="s">
        <v>170</v>
      </c>
      <c r="C25" s="49">
        <f>Calculs!$B$50</f>
        <v>1076.8421052631579</v>
      </c>
      <c r="D25" s="8" t="s">
        <v>204</v>
      </c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0" customWidth="1"/>
    <col min="3" max="5" width="16" customWidth="1"/>
    <col min="6" max="6" width="38" customWidth="1"/>
  </cols>
  <sheetData>
    <row r="1" spans="2:6" ht="18" x14ac:dyDescent="0.2">
      <c r="B1" s="2" t="s">
        <v>205</v>
      </c>
      <c r="C1" s="2"/>
      <c r="D1" s="2"/>
      <c r="E1" s="2"/>
      <c r="F1" s="2"/>
    </row>
    <row r="2" spans="2:6" x14ac:dyDescent="0.2">
      <c r="B2" s="1" t="s">
        <v>206</v>
      </c>
      <c r="C2" s="1"/>
      <c r="D2" s="1"/>
      <c r="E2" s="1"/>
      <c r="F2" s="1"/>
    </row>
    <row r="4" spans="2:6" ht="19.5" customHeight="1" x14ac:dyDescent="0.2">
      <c r="B4" s="4" t="s">
        <v>207</v>
      </c>
      <c r="C4" s="5"/>
      <c r="D4" s="5"/>
      <c r="E4" s="5"/>
      <c r="F4" s="5"/>
    </row>
    <row r="5" spans="2:6" x14ac:dyDescent="0.2">
      <c r="B5" s="12" t="s">
        <v>208</v>
      </c>
      <c r="C5" s="12" t="s">
        <v>209</v>
      </c>
      <c r="D5" s="12" t="s">
        <v>210</v>
      </c>
      <c r="E5" s="12" t="s">
        <v>211</v>
      </c>
      <c r="F5" s="12" t="s">
        <v>212</v>
      </c>
    </row>
    <row r="6" spans="2:6" x14ac:dyDescent="0.2">
      <c r="B6" s="17">
        <v>0</v>
      </c>
      <c r="C6">
        <v>0</v>
      </c>
      <c r="D6" s="25">
        <f>-Calculs!$B$49</f>
        <v>-7000</v>
      </c>
      <c r="E6" s="50" t="str">
        <f t="shared" ref="E6:E21" si="0">IF(D6&gt;=0,"Équilibré","À amortir")</f>
        <v>À amortir</v>
      </c>
    </row>
    <row r="7" spans="2:6" x14ac:dyDescent="0.2">
      <c r="B7" s="17">
        <v>1</v>
      </c>
      <c r="C7" s="30">
        <f>Calculs!$B$50*(1+Hypothèses!$B$54)^(1-1)</f>
        <v>1076.8421052631579</v>
      </c>
      <c r="D7" s="25">
        <f t="shared" ref="D7:D21" si="1">D6+C7</f>
        <v>-5923.1578947368416</v>
      </c>
      <c r="E7" s="50" t="str">
        <f t="shared" si="0"/>
        <v>À amortir</v>
      </c>
    </row>
    <row r="8" spans="2:6" x14ac:dyDescent="0.2">
      <c r="B8" s="17">
        <v>2</v>
      </c>
      <c r="C8" s="30">
        <f>Calculs!$B$50*(1+Hypothèses!$B$54)^(2-1)</f>
        <v>1109.1473684210528</v>
      </c>
      <c r="D8" s="25">
        <f t="shared" si="1"/>
        <v>-4814.0105263157893</v>
      </c>
      <c r="E8" s="50" t="str">
        <f t="shared" si="0"/>
        <v>À amortir</v>
      </c>
    </row>
    <row r="9" spans="2:6" x14ac:dyDescent="0.2">
      <c r="B9" s="17">
        <v>3</v>
      </c>
      <c r="C9" s="30">
        <f>Calculs!$B$50*(1+Hypothèses!$B$54)^(3-1)</f>
        <v>1142.4217894736842</v>
      </c>
      <c r="D9" s="25">
        <f t="shared" si="1"/>
        <v>-3671.5887368421054</v>
      </c>
      <c r="E9" s="50" t="str">
        <f t="shared" si="0"/>
        <v>À amortir</v>
      </c>
    </row>
    <row r="10" spans="2:6" x14ac:dyDescent="0.2">
      <c r="B10" s="17">
        <v>4</v>
      </c>
      <c r="C10" s="30">
        <f>Calculs!$B$50*(1+Hypothèses!$B$54)^(4-1)</f>
        <v>1176.6944431578947</v>
      </c>
      <c r="D10" s="25">
        <f t="shared" si="1"/>
        <v>-2494.8942936842104</v>
      </c>
      <c r="E10" s="50" t="str">
        <f t="shared" si="0"/>
        <v>À amortir</v>
      </c>
    </row>
    <row r="11" spans="2:6" x14ac:dyDescent="0.2">
      <c r="B11" s="17">
        <v>5</v>
      </c>
      <c r="C11" s="30">
        <f>Calculs!$B$50*(1+Hypothèses!$B$54)^(5-1)</f>
        <v>1211.9952764526315</v>
      </c>
      <c r="D11" s="25">
        <f t="shared" si="1"/>
        <v>-1282.8990172315789</v>
      </c>
      <c r="E11" s="50" t="str">
        <f t="shared" si="0"/>
        <v>À amortir</v>
      </c>
    </row>
    <row r="12" spans="2:6" x14ac:dyDescent="0.2">
      <c r="B12" s="17">
        <v>6</v>
      </c>
      <c r="C12" s="30">
        <f>Calculs!$B$50*(1+Hypothèses!$B$54)^(6-1)</f>
        <v>1248.3551347462103</v>
      </c>
      <c r="D12" s="25">
        <f t="shared" si="1"/>
        <v>-34.543882485368613</v>
      </c>
      <c r="E12" s="50" t="str">
        <f t="shared" si="0"/>
        <v>À amortir</v>
      </c>
    </row>
    <row r="13" spans="2:6" x14ac:dyDescent="0.2">
      <c r="B13" s="17">
        <v>7</v>
      </c>
      <c r="C13" s="30">
        <f>Calculs!$B$50*(1+Hypothèses!$B$54)^(7-1)</f>
        <v>1285.8057887885968</v>
      </c>
      <c r="D13" s="25">
        <f t="shared" si="1"/>
        <v>1251.2619063032282</v>
      </c>
      <c r="E13" s="50" t="str">
        <f t="shared" si="0"/>
        <v>Équilibré</v>
      </c>
    </row>
    <row r="14" spans="2:6" x14ac:dyDescent="0.2">
      <c r="B14" s="17">
        <v>8</v>
      </c>
      <c r="C14" s="30">
        <f>Calculs!$B$50*(1+Hypothèses!$B$54)^(8-1)</f>
        <v>1324.3799624522549</v>
      </c>
      <c r="D14" s="25">
        <f t="shared" si="1"/>
        <v>2575.6418687554833</v>
      </c>
      <c r="E14" s="50" t="str">
        <f t="shared" si="0"/>
        <v>Équilibré</v>
      </c>
    </row>
    <row r="15" spans="2:6" x14ac:dyDescent="0.2">
      <c r="B15" s="17">
        <v>9</v>
      </c>
      <c r="C15" s="30">
        <f>Calculs!$B$50*(1+Hypothèses!$B$54)^(9-1)</f>
        <v>1364.1113613258221</v>
      </c>
      <c r="D15" s="25">
        <f t="shared" si="1"/>
        <v>3939.7532300813054</v>
      </c>
      <c r="E15" s="50" t="str">
        <f t="shared" si="0"/>
        <v>Équilibré</v>
      </c>
    </row>
    <row r="16" spans="2:6" x14ac:dyDescent="0.2">
      <c r="B16" s="17">
        <v>10</v>
      </c>
      <c r="C16" s="30">
        <f>Calculs!$B$50*(1+Hypothèses!$B$54)^(10-1)</f>
        <v>1405.0347021655969</v>
      </c>
      <c r="D16" s="25">
        <f t="shared" si="1"/>
        <v>5344.7879322469025</v>
      </c>
      <c r="E16" s="50" t="str">
        <f t="shared" si="0"/>
        <v>Équilibré</v>
      </c>
    </row>
    <row r="17" spans="2:6" x14ac:dyDescent="0.2">
      <c r="B17" s="17">
        <v>11</v>
      </c>
      <c r="C17" s="30">
        <f>Calculs!$B$50*(1+Hypothèses!$B$54)^(11-1)</f>
        <v>1447.1857432305649</v>
      </c>
      <c r="D17" s="25">
        <f t="shared" si="1"/>
        <v>6791.9736754774676</v>
      </c>
      <c r="E17" s="50" t="str">
        <f t="shared" si="0"/>
        <v>Équilibré</v>
      </c>
    </row>
    <row r="18" spans="2:6" x14ac:dyDescent="0.2">
      <c r="B18" s="17">
        <v>12</v>
      </c>
      <c r="C18" s="30">
        <f>Calculs!$B$50*(1+Hypothèses!$B$54)^(12-1)</f>
        <v>1490.6013155274818</v>
      </c>
      <c r="D18" s="25">
        <f t="shared" si="1"/>
        <v>8282.574991004949</v>
      </c>
      <c r="E18" s="50" t="str">
        <f t="shared" si="0"/>
        <v>Équilibré</v>
      </c>
    </row>
    <row r="19" spans="2:6" x14ac:dyDescent="0.2">
      <c r="B19" s="17">
        <v>13</v>
      </c>
      <c r="C19" s="30">
        <f>Calculs!$B$50*(1+Hypothèses!$B$54)^(13-1)</f>
        <v>1535.319354993306</v>
      </c>
      <c r="D19" s="25">
        <f t="shared" si="1"/>
        <v>9817.8943459982547</v>
      </c>
      <c r="E19" s="50" t="str">
        <f t="shared" si="0"/>
        <v>Équilibré</v>
      </c>
    </row>
    <row r="20" spans="2:6" x14ac:dyDescent="0.2">
      <c r="B20" s="17">
        <v>14</v>
      </c>
      <c r="C20" s="30">
        <f>Calculs!$B$50*(1+Hypothèses!$B$54)^(14-1)</f>
        <v>1581.3789356431053</v>
      </c>
      <c r="D20" s="25">
        <f t="shared" si="1"/>
        <v>11399.273281641359</v>
      </c>
      <c r="E20" s="50" t="str">
        <f t="shared" si="0"/>
        <v>Équilibré</v>
      </c>
    </row>
    <row r="21" spans="2:6" x14ac:dyDescent="0.2">
      <c r="B21" s="17">
        <v>15</v>
      </c>
      <c r="C21" s="30">
        <f>Calculs!$B$50*(1+Hypothèses!$B$54)^(15-1)</f>
        <v>1628.8203037123985</v>
      </c>
      <c r="D21" s="25">
        <f t="shared" si="1"/>
        <v>13028.093585353758</v>
      </c>
      <c r="E21" s="50" t="str">
        <f t="shared" si="0"/>
        <v>Équilibré</v>
      </c>
    </row>
    <row r="23" spans="2:6" ht="19.5" customHeight="1" x14ac:dyDescent="0.2">
      <c r="B23" s="4" t="s">
        <v>213</v>
      </c>
      <c r="C23" s="5"/>
      <c r="D23" s="5"/>
      <c r="E23" s="5"/>
      <c r="F23" s="5"/>
    </row>
    <row r="24" spans="2:6" ht="48" x14ac:dyDescent="0.2">
      <c r="B24" s="6" t="s">
        <v>214</v>
      </c>
      <c r="C24" s="27">
        <f>IFERROR(MATCH(0,D6:D21,1),0)</f>
        <v>7</v>
      </c>
      <c r="F24" s="3" t="s">
        <v>215</v>
      </c>
    </row>
    <row r="25" spans="2:6" ht="80" x14ac:dyDescent="0.2">
      <c r="B25" s="6" t="s">
        <v>216</v>
      </c>
      <c r="C25" s="27">
        <f>C24-1</f>
        <v>6</v>
      </c>
    </row>
    <row r="26" spans="2:6" ht="32" x14ac:dyDescent="0.2">
      <c r="B26" s="6" t="s">
        <v>217</v>
      </c>
      <c r="C26" s="25">
        <f>INDEX(D6:D21,C24)</f>
        <v>-34.543882485368613</v>
      </c>
    </row>
    <row r="27" spans="2:6" ht="48" x14ac:dyDescent="0.2">
      <c r="B27" s="6" t="s">
        <v>218</v>
      </c>
      <c r="C27" s="25">
        <f>IFERROR(INDEX(D6:D21,C24+1),INDEX(D6:D21,C24))</f>
        <v>1251.2619063032282</v>
      </c>
    </row>
    <row r="28" spans="2:6" x14ac:dyDescent="0.2">
      <c r="B28" s="51" t="s">
        <v>219</v>
      </c>
      <c r="C28" s="52">
        <f>IF(Calculs!$B$50&lt;=0,"Jamais (surcoût)",IF(INDEX(D6:D21,16)&lt;0,"Au-delà de 15 ans",(C24-1)+IF(C27-C26&lt;&gt;0,-C26/(C27-C26),0)))</f>
        <v>6.0268655521592525</v>
      </c>
      <c r="F28" s="3" t="s">
        <v>220</v>
      </c>
    </row>
    <row r="30" spans="2:6" ht="19.5" customHeight="1" x14ac:dyDescent="0.2">
      <c r="B30" s="4" t="s">
        <v>221</v>
      </c>
      <c r="C30" s="5"/>
      <c r="D30" s="5"/>
      <c r="E30" s="5"/>
      <c r="F30" s="5"/>
    </row>
    <row r="31" spans="2:6" x14ac:dyDescent="0.2">
      <c r="B31" s="12" t="s">
        <v>222</v>
      </c>
      <c r="C31" s="12" t="s">
        <v>44</v>
      </c>
      <c r="D31" s="12" t="s">
        <v>223</v>
      </c>
      <c r="E31" s="12" t="s">
        <v>224</v>
      </c>
    </row>
    <row r="32" spans="2:6" x14ac:dyDescent="0.2">
      <c r="B32" s="51" t="s">
        <v>225</v>
      </c>
      <c r="C32" s="25">
        <f>Hypothèses!$B$58</f>
        <v>8000</v>
      </c>
      <c r="D32" s="30">
        <f>Calculs!$B$30</f>
        <v>1815</v>
      </c>
      <c r="E32" s="25">
        <f>C32+D32*(((1+Hypothèses!$B$54)^Hypothèses!$B$53-1)/Hypothèses!$B$54)</f>
        <v>41757.028704346252</v>
      </c>
    </row>
    <row r="33" spans="2:6" x14ac:dyDescent="0.2">
      <c r="B33" s="51" t="s">
        <v>226</v>
      </c>
      <c r="C33" s="25">
        <f>Hypothèses!$B$59</f>
        <v>5000</v>
      </c>
      <c r="D33" s="30">
        <f>Calculs!$B$31</f>
        <v>1750.7368421052631</v>
      </c>
      <c r="E33" s="25">
        <f>C33+D33*(((1+Hypothèses!$B$54)^Hypothèses!$B$53-1)/Hypothèses!$B$54)</f>
        <v>37561.803764575139</v>
      </c>
    </row>
    <row r="34" spans="2:6" x14ac:dyDescent="0.2">
      <c r="B34" s="51" t="s">
        <v>227</v>
      </c>
      <c r="C34" s="25">
        <f>Hypothèses!$B$60</f>
        <v>7000</v>
      </c>
      <c r="D34" s="30">
        <f>Calculs!$B$32</f>
        <v>2346.6666666666665</v>
      </c>
      <c r="E34" s="25">
        <f>C34+D34*(((1+Hypothèses!$B$54)^Hypothèses!$B$53-1)/Hypothèses!$B$54)</f>
        <v>50645.451254104242</v>
      </c>
    </row>
    <row r="35" spans="2:6" x14ac:dyDescent="0.2">
      <c r="B35" s="51" t="s">
        <v>228</v>
      </c>
      <c r="C35" s="25">
        <f>Hypothèses!$B$61</f>
        <v>2000</v>
      </c>
      <c r="D35" s="30">
        <f>Calculs!$B$33</f>
        <v>2560.8000000000002</v>
      </c>
      <c r="E35" s="25">
        <f>C35+D35*(((1+Hypothèses!$B$54)^Hypothèses!$B$53-1)/Hypothèses!$B$54)</f>
        <v>49628.098681041258</v>
      </c>
    </row>
    <row r="36" spans="2:6" x14ac:dyDescent="0.2">
      <c r="B36" s="53" t="s">
        <v>229</v>
      </c>
      <c r="C36" s="54">
        <f>Calculs!$B$49</f>
        <v>7000</v>
      </c>
      <c r="D36" s="55">
        <f>Calculs!$B$34</f>
        <v>673.89473684210532</v>
      </c>
      <c r="E36" s="54">
        <f>C36+D36*(((1+Hypothèses!$B$54)^Hypothèses!$B$53-1)/Hypothèses!$B$54)</f>
        <v>19533.710179221383</v>
      </c>
    </row>
    <row r="38" spans="2:6" x14ac:dyDescent="0.2">
      <c r="B38" s="1" t="s">
        <v>230</v>
      </c>
      <c r="C38" s="1"/>
      <c r="D38" s="1"/>
      <c r="E38" s="1"/>
      <c r="F38" s="1"/>
    </row>
  </sheetData>
  <mergeCells count="3">
    <mergeCell ref="B1:F1"/>
    <mergeCell ref="B2:F2"/>
    <mergeCell ref="B38:F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Saisies</vt:lpstr>
      <vt:lpstr>Hypothèses</vt:lpstr>
      <vt:lpstr>Calculs</vt:lpstr>
      <vt:lpstr>Résultats</vt:lpstr>
      <vt:lpstr>Amortissement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Bertrand Matge</cp:lastModifiedBy>
  <cp:revision>0</cp:revision>
  <dcterms:created xsi:type="dcterms:W3CDTF">2026-05-20T13:16:52Z</dcterms:created>
  <dcterms:modified xsi:type="dcterms:W3CDTF">2026-05-20T13:54:15Z</dcterms:modified>
  <dc:language>en-US</dc:language>
</cp:coreProperties>
</file>