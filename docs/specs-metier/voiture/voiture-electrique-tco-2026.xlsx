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ertrand/Developer/GitHub/simulateurs-portail-elec/docs/specs-metier/voiture/"/>
    </mc:Choice>
  </mc:AlternateContent>
  <xr:revisionPtr revIDLastSave="0" documentId="8_{91034741-F1AC-2C46-9241-3BCF74BBA69B}" xr6:coauthVersionLast="47" xr6:coauthVersionMax="47" xr10:uidLastSave="{00000000-0000-0000-0000-000000000000}"/>
  <bookViews>
    <workbookView xWindow="0" yWindow="660" windowWidth="21900" windowHeight="15000" tabRatio="500" activeTab="3" xr2:uid="{00000000-000D-0000-FFFF-FFFF00000000}"/>
  </bookViews>
  <sheets>
    <sheet name="Hypothèses" sheetId="1" r:id="rId1"/>
    <sheet name="Mode 1 — VE neuf vs th." sheetId="2" r:id="rId2"/>
    <sheet name="Mode 2 — Revente pour VE" sheetId="3" r:id="rId3"/>
    <sheet name="Mode 3 — VE occasion" sheetId="4" r:id="rId4"/>
    <sheet name="Synthès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2" i="4" l="1"/>
  <c r="E11" i="5" s="1"/>
  <c r="C47" i="4"/>
  <c r="C45" i="4"/>
  <c r="C46" i="4" s="1"/>
  <c r="C38" i="4"/>
  <c r="C39" i="4" s="1"/>
  <c r="C40" i="4" s="1"/>
  <c r="C36" i="4"/>
  <c r="C37" i="4" s="1"/>
  <c r="C41" i="4" s="1"/>
  <c r="C42" i="4" s="1"/>
  <c r="C35" i="4"/>
  <c r="C56" i="4" s="1"/>
  <c r="C34" i="4"/>
  <c r="C45" i="3"/>
  <c r="C43" i="3"/>
  <c r="C44" i="3" s="1"/>
  <c r="C46" i="3" s="1"/>
  <c r="C39" i="3"/>
  <c r="C40" i="3" s="1"/>
  <c r="C36" i="3"/>
  <c r="C37" i="3" s="1"/>
  <c r="C38" i="3" s="1"/>
  <c r="C33" i="3"/>
  <c r="C34" i="3" s="1"/>
  <c r="C61" i="2"/>
  <c r="C60" i="2"/>
  <c r="C53" i="2"/>
  <c r="C51" i="2"/>
  <c r="C52" i="2" s="1"/>
  <c r="C50" i="2"/>
  <c r="C55" i="2" s="1"/>
  <c r="C57" i="2" s="1"/>
  <c r="C45" i="2"/>
  <c r="C48" i="2" s="1"/>
  <c r="D6" i="5" l="1"/>
  <c r="C56" i="3"/>
  <c r="C48" i="3"/>
  <c r="C59" i="2"/>
  <c r="C65" i="2"/>
  <c r="C63" i="2"/>
  <c r="C43" i="4"/>
  <c r="C48" i="4"/>
  <c r="C35" i="3"/>
  <c r="C47" i="3"/>
  <c r="C49" i="4"/>
  <c r="C41" i="3"/>
  <c r="C46" i="2"/>
  <c r="C47" i="2"/>
  <c r="C62" i="4"/>
  <c r="E9" i="5"/>
  <c r="C6" i="5" l="1"/>
  <c r="C75" i="2"/>
  <c r="C69" i="2"/>
  <c r="C80" i="2" s="1"/>
  <c r="E6" i="5"/>
  <c r="C59" i="4"/>
  <c r="C50" i="4"/>
  <c r="C57" i="4"/>
  <c r="C44" i="4"/>
  <c r="C49" i="2"/>
  <c r="C54" i="2" s="1"/>
  <c r="C56" i="2" s="1"/>
  <c r="C42" i="3"/>
  <c r="C54" i="3"/>
  <c r="E5" i="5"/>
  <c r="C60" i="4"/>
  <c r="C58" i="3"/>
  <c r="D7" i="5"/>
  <c r="C49" i="3"/>
  <c r="C59" i="3" s="1"/>
  <c r="D5" i="5"/>
  <c r="C57" i="3"/>
  <c r="D9" i="5"/>
  <c r="C53" i="3"/>
  <c r="C58" i="2" l="1"/>
  <c r="C62" i="2" s="1"/>
  <c r="C66" i="2"/>
  <c r="E10" i="5"/>
  <c r="C58" i="4"/>
  <c r="C51" i="4"/>
  <c r="C63" i="4" s="1"/>
  <c r="E7" i="5"/>
  <c r="C61" i="4"/>
  <c r="D10" i="5"/>
  <c r="C55" i="3"/>
  <c r="C8" i="5" l="1"/>
  <c r="C67" i="2"/>
  <c r="C77" i="2"/>
  <c r="C74" i="2"/>
  <c r="C5" i="5"/>
  <c r="C68" i="2"/>
  <c r="C79" i="2" s="1"/>
  <c r="C64" i="2"/>
  <c r="C76" i="2" l="1"/>
  <c r="C70" i="2"/>
  <c r="C81" i="2" s="1"/>
  <c r="C7" i="5"/>
  <c r="C10" i="5"/>
  <c r="C78" i="2"/>
</calcChain>
</file>

<file path=xl/sharedStrings.xml><?xml version="1.0" encoding="utf-8"?>
<sst xmlns="http://schemas.openxmlformats.org/spreadsheetml/2006/main" count="321" uniqueCount="258">
  <si>
    <t>Hypothèses — Voiture électrique vs thermique 2026</t>
  </si>
  <si>
    <t>Barèmes 2026 (aides VE) et paramètres par défaut utilisés dans les 3 modes.</t>
  </si>
  <si>
    <t>Prime CEE « Coup de pouce VPE » 2026 — par tranche RFR/part</t>
  </si>
  <si>
    <t>Tranche RFR/part</t>
  </si>
  <si>
    <t>Montant prime (€)</t>
  </si>
  <si>
    <t>≤ 16 300 € / part</t>
  </si>
  <si>
    <t>16 301 – 26 300 € / part</t>
  </si>
  <si>
    <t>&gt; 26 300 € / part</t>
  </si>
  <si>
    <t>Source : LF 2026 — economie.gouv.fr / ecologie.gouv.fr</t>
  </si>
  <si>
    <t>Surbonus batterie fabriquée en UE (€)</t>
  </si>
  <si>
    <t>Non éligible</t>
  </si>
  <si>
    <t>Médian (option par défaut)</t>
  </si>
  <si>
    <t>Score environnemental ADEME</t>
  </si>
  <si>
    <t>Maximum (modèles haut de gamme)</t>
  </si>
  <si>
    <t>Prix énergies — valeurs par défaut (€/kWh ou €/L)</t>
  </si>
  <si>
    <t>Électricité — heures creuses (€/kWh)</t>
  </si>
  <si>
    <t>Tarif réglementé HC</t>
  </si>
  <si>
    <t>Électricité — heures pleines (€/kWh)</t>
  </si>
  <si>
    <t>Tarif réglementé HP</t>
  </si>
  <si>
    <t>Électricité — borne rapide (€/kWh)</t>
  </si>
  <si>
    <t>Bornes publiques DC</t>
  </si>
  <si>
    <t>Électricité — mix domicile (€/kWh, modes 2 &amp; 3)</t>
  </si>
  <si>
    <t>Hyp. moyenne foyer</t>
  </si>
  <si>
    <t>Essence SP95-E10 (€/L)</t>
  </si>
  <si>
    <t>Moyenne 2026 — CGDD</t>
  </si>
  <si>
    <t>Diesel (€/L)</t>
  </si>
  <si>
    <t>Décote moyenne (% du prix neuf conservé après détention)</t>
  </si>
  <si>
    <t>VE neuf — % conservé (5 ans)</t>
  </si>
  <si>
    <t>Marché 2026 — indicatif</t>
  </si>
  <si>
    <t>Thermique neuf — % conservé (5 ans)</t>
  </si>
  <si>
    <t>VE occasion — % conservé</t>
  </si>
  <si>
    <t>Décote annuelle voiture actuelle (mode 2)</t>
  </si>
  <si>
    <t>12 %/an indicatif</t>
  </si>
  <si>
    <t>Taux décote actuelle mode 3</t>
  </si>
  <si>
    <t>Soit 1 − 12 %/an, facteur résiduel /an</t>
  </si>
  <si>
    <t>Entretien &amp; assurance — valeurs par défaut (€/an)</t>
  </si>
  <si>
    <t>Entretien VE neuf</t>
  </si>
  <si>
    <t>Moins de pièces d'usure</t>
  </si>
  <si>
    <t>Entretien VE occasion</t>
  </si>
  <si>
    <t>Entretien thermique neuf</t>
  </si>
  <si>
    <t>Vidanges, courroie, etc.</t>
  </si>
  <si>
    <t>Entretien voiture actuelle</t>
  </si>
  <si>
    <t>Assurance VE neuf</t>
  </si>
  <si>
    <t>Légèrement supérieure (+10-15 %)</t>
  </si>
  <si>
    <t>Assurance VE occasion</t>
  </si>
  <si>
    <t>Assurance thermique neuf</t>
  </si>
  <si>
    <t>Assurance voiture actuelle</t>
  </si>
  <si>
    <t>Borne de recharge à domicile</t>
  </si>
  <si>
    <t>Coût installation borne (€)</t>
  </si>
  <si>
    <t>Wallbox + pose</t>
  </si>
  <si>
    <t>Note : ce simulateur n'applique PAS de crédit d'impôt borne.</t>
  </si>
  <si>
    <t>Le crédit d'impôt 75 % plafonné à 500 € n'est pas modélisé ici.</t>
  </si>
  <si>
    <t>Hypothèses spécifiques au VE d'occasion</t>
  </si>
  <si>
    <t>Réserve pour risque batterie (€)</t>
  </si>
  <si>
    <t>Provision pour remplacement éventuel</t>
  </si>
  <si>
    <t>Facteur dégradation conso par 1 % SoH perdu</t>
  </si>
  <si>
    <t>facteur = 1 + (1−SoH) × 0,3</t>
  </si>
  <si>
    <t>Mode 1 — VE neuf vs voiture thermique neuve</t>
  </si>
  <si>
    <t>TCO sur durée de détention. Saisies en bleu, calculs noirs, KPI en bas.</t>
  </si>
  <si>
    <t>Votre usage</t>
  </si>
  <si>
    <t>Kilométrage annuel (km)</t>
  </si>
  <si>
    <t>Distance totale parcourue par an.</t>
  </si>
  <si>
    <t>Durée de détention (ans)</t>
  </si>
  <si>
    <t>Sur combien d'années on calcule le TCO.</t>
  </si>
  <si>
    <t>Voiture électrique</t>
  </si>
  <si>
    <t>Prix VE catalogue TTC (€)</t>
  </si>
  <si>
    <t>Avant aides.</t>
  </si>
  <si>
    <t>Conso VE (kWh/100 km)</t>
  </si>
  <si>
    <t>Citadine ≈14, SUV 18-22.</t>
  </si>
  <si>
    <t>Prime CEE VPE (€)</t>
  </si>
  <si>
    <t>5 700 € (RFR/part ≤ 16 300) · 4 700 € (16 301-26 300) · 3 500 € (&gt; 26 300).</t>
  </si>
  <si>
    <t>Surbonus batterie EU (€)</t>
  </si>
  <si>
    <t>0, 1 500 ou 2 000 € selon modèle.</t>
  </si>
  <si>
    <t>Borne domicile (€)</t>
  </si>
  <si>
    <t>Installation wallbox.</t>
  </si>
  <si>
    <t>Voiture thermique</t>
  </si>
  <si>
    <t>Prix thermique catalogue TTC (€)</t>
  </si>
  <si>
    <t>Carburant</t>
  </si>
  <si>
    <t>essence</t>
  </si>
  <si>
    <t>essence | diesel.</t>
  </si>
  <si>
    <t>Conso thermique (L/100 km)</t>
  </si>
  <si>
    <t>Malus CO₂ + poids (€)</t>
  </si>
  <si>
    <t>0 si modèle sobre.</t>
  </si>
  <si>
    <t>Prix de l'énergie (€/kWh ou €/L)</t>
  </si>
  <si>
    <t>Élec. heures creuses (€/kWh)</t>
  </si>
  <si>
    <t>Élec. heures pleines (€/kWh)</t>
  </si>
  <si>
    <t>Élec. borne rapide (€/kWh)</t>
  </si>
  <si>
    <t>Essence (€/L)</t>
  </si>
  <si>
    <t>Mix de recharge VE (% — doit sommer à 100)</t>
  </si>
  <si>
    <t>Heures creuses (%)</t>
  </si>
  <si>
    <t>Saisir en pourcentages entiers. Si la somme ≠ 100, le calcul renormalise.</t>
  </si>
  <si>
    <t>Heures pleines (%)</t>
  </si>
  <si>
    <t>Borne rapide (%)</t>
  </si>
  <si>
    <t>Entretien &amp; assurance (€/an)</t>
  </si>
  <si>
    <t>Entretien VE</t>
  </si>
  <si>
    <t>Entretien thermique</t>
  </si>
  <si>
    <t>Assurance VE</t>
  </si>
  <si>
    <t>Assurance thermique</t>
  </si>
  <si>
    <t>Valeur de revente (% du prix neuf conservé)</t>
  </si>
  <si>
    <t>VE — % conservé</t>
  </si>
  <si>
    <t>Cote indicative — à confronter à l'Argus du modèle.</t>
  </si>
  <si>
    <t>Thermique — % conservé</t>
  </si>
  <si>
    <t>Calculs intermédiaires</t>
  </si>
  <si>
    <t>Somme du mix (HC + HP + DC, %)</t>
  </si>
  <si>
    <t>Le mix est exprimé en % entiers (ex : 70, 20, 10).</t>
  </si>
  <si>
    <t>Part HC effective (renormalisée)</t>
  </si>
  <si>
    <t>Renormalisé si somme ≠ 100.</t>
  </si>
  <si>
    <t>Part HP effective</t>
  </si>
  <si>
    <t>Part DC effective</t>
  </si>
  <si>
    <t>Prix kWh moyen (€/kWh)</t>
  </si>
  <si>
    <t>Moyenne pondérée selon le mix.</t>
  </si>
  <si>
    <t>Prix carburant retenu (€/L)</t>
  </si>
  <si>
    <t>Aides totales (€)</t>
  </si>
  <si>
    <t>Prime VPE + surbonus batterie.</t>
  </si>
  <si>
    <t>VE — coût d'acquisition net (€)</t>
  </si>
  <si>
    <t>Prix − aides + borne.</t>
  </si>
  <si>
    <t>Thermique — coût d'acquisition (€)</t>
  </si>
  <si>
    <t>Prix + malus.</t>
  </si>
  <si>
    <t>VE — énergie /an (€)</t>
  </si>
  <si>
    <t>Thermique — carburant /an (€)</t>
  </si>
  <si>
    <t>VE — usage total /an (€)</t>
  </si>
  <si>
    <t>Énergie + entretien + assurance.</t>
  </si>
  <si>
    <t>Thermique — usage total /an (€)</t>
  </si>
  <si>
    <t>VE — usage cumulé sur N ans (€)</t>
  </si>
  <si>
    <t>Thermique — usage cumulé sur N ans (€)</t>
  </si>
  <si>
    <t>VE — valeur de revente (€)</t>
  </si>
  <si>
    <t>Thermique — valeur de revente (€)</t>
  </si>
  <si>
    <t>TCO VE (€)</t>
  </si>
  <si>
    <t>Acquisition + usage cumulé − valeur de revente.</t>
  </si>
  <si>
    <t>TCO Thermique (€)</t>
  </si>
  <si>
    <t>Écart (TH − VE)</t>
  </si>
  <si>
    <t>Positif = VE gagnant. Négatif = thermique gagnant.</t>
  </si>
  <si>
    <t>Surcoût acquisition VE (€)</t>
  </si>
  <si>
    <t>Économie usage VE /an (€)</t>
  </si>
  <si>
    <t>Bascule — années pour amortir le surcoût</t>
  </si>
  <si>
    <t>0 si pas de surcoût, N/A si jamais.</t>
  </si>
  <si>
    <t>Coût/km VE</t>
  </si>
  <si>
    <t>Coût/km thermique</t>
  </si>
  <si>
    <t>Écart relatif (% du TCO max)</t>
  </si>
  <si>
    <t>Résultats — KPI</t>
  </si>
  <si>
    <t>TCO Voiture électrique</t>
  </si>
  <si>
    <t>Acquisition + usage cumulé − revente.</t>
  </si>
  <si>
    <t>TCO Voiture thermique</t>
  </si>
  <si>
    <t>Écart (positif = VE gagnant)</t>
  </si>
  <si>
    <t>Sur la durée de détention totale.</t>
  </si>
  <si>
    <t>Économie d'usage VE / mois</t>
  </si>
  <si>
    <t>Différence sur les coûts annuels.</t>
  </si>
  <si>
    <t>Bascule (années)</t>
  </si>
  <si>
    <t>Temps pour amortir le surcoût d'achat.</t>
  </si>
  <si>
    <t>Coût au km VE</t>
  </si>
  <si>
    <t>Coût au km Thermique</t>
  </si>
  <si>
    <t>Verdict</t>
  </si>
  <si>
    <t>Seuil = 5 % d'écart relatif.</t>
  </si>
  <si>
    <t>Mode 2 — Revendre la voiture actuelle pour un VE neuf</t>
  </si>
  <si>
    <t>Apport net, payback et bilan sur N ans (garder l'actuelle vs passer au VE).</t>
  </si>
  <si>
    <t>Voiture actuelle</t>
  </si>
  <si>
    <t>Valeur de revente (€)</t>
  </si>
  <si>
    <t>Estimation Argus / La Centrale.</t>
  </si>
  <si>
    <t>Conso (L/100 km)</t>
  </si>
  <si>
    <t>Entretien (€/an)</t>
  </si>
  <si>
    <t>Assurance (€/an)</t>
  </si>
  <si>
    <t>Décote annuelle (%/an)</t>
  </si>
  <si>
    <t>12 %/an indicatif — fait référence dans Argus.</t>
  </si>
  <si>
    <t>Horizon d'analyse (ans)</t>
  </si>
  <si>
    <t>VE neuf visé</t>
  </si>
  <si>
    <t>Prix catalogue TTC (€)</t>
  </si>
  <si>
    <t>Conso (kWh/100 km)</t>
  </si>
  <si>
    <t>5 700 / 4 700 / 3 500 selon RFR/part.</t>
  </si>
  <si>
    <t>0, 1 500 ou 2 000.</t>
  </si>
  <si>
    <t>Entretien VE (€/an)</t>
  </si>
  <si>
    <t>Assurance VE (€/an)</t>
  </si>
  <si>
    <t>VE — % conservé après N ans</t>
  </si>
  <si>
    <t>Prix énergie</t>
  </si>
  <si>
    <t>kWh moyen domicile (€/kWh)</t>
  </si>
  <si>
    <t>Mix HC/HP standard pour foyer.</t>
  </si>
  <si>
    <t>Prix net VE (sans revente, €)</t>
  </si>
  <si>
    <t>Cash à sortir aujourd'hui (€)</t>
  </si>
  <si>
    <t>Prix net VE − revente actuelle.</t>
  </si>
  <si>
    <t>Actuelle — carburant /an (€)</t>
  </si>
  <si>
    <t>Actuelle — usage total /an (€)</t>
  </si>
  <si>
    <t>Carburant + entretien + assurance.</t>
  </si>
  <si>
    <t>VE — recharge /an (€)</t>
  </si>
  <si>
    <t>Économie d'usage /an (€)</t>
  </si>
  <si>
    <t>Garder − VE.</t>
  </si>
  <si>
    <t>Payback — années pour rentabiliser l'apport</t>
  </si>
  <si>
    <t>0 si apport ≤ 0, « Jamais » sinon.</t>
  </si>
  <si>
    <t>Actuelle — valeur résiduelle après N ans (€)</t>
  </si>
  <si>
    <t>Décroissance géométrique au taux annuel.</t>
  </si>
  <si>
    <t>Actuelle — dépréciation cumulée (€)</t>
  </si>
  <si>
    <t>VE — valeur résiduelle après N ans (€)</t>
  </si>
  <si>
    <t>TOTAL « garder l'actuelle » (€)</t>
  </si>
  <si>
    <t>Dépréciation + N × usage.</t>
  </si>
  <si>
    <t>TOTAL « passer au VE » (€)</t>
  </si>
  <si>
    <t>Prix net VE − revente VE + N × usage.</t>
  </si>
  <si>
    <t>Écart (Garder − VE)</t>
  </si>
  <si>
    <t>Positif = passer au VE est gagnant.</t>
  </si>
  <si>
    <t>Écart relatif</t>
  </si>
  <si>
    <t>Cash à sortir aujourd'hui (apport net)</t>
  </si>
  <si>
    <t>Ce que vous payez de votre poche.</t>
  </si>
  <si>
    <t>Économie d'usage / mois</t>
  </si>
  <si>
    <t>Différence de budget mensuel.</t>
  </si>
  <si>
    <t>Payback (années)</t>
  </si>
  <si>
    <t>Apport ÷ économie annuelle.</t>
  </si>
  <si>
    <t>Total — garder l'actuelle</t>
  </si>
  <si>
    <t>Dépréciation + usage cumulé.</t>
  </si>
  <si>
    <t>Total — passer au VE</t>
  </si>
  <si>
    <t>Net du VE − revente + usage cumulé.</t>
  </si>
  <si>
    <t>Seuil = 5 %.</t>
  </si>
  <si>
    <t>Mode 3 — Passer au VE d'occasion</t>
  </si>
  <si>
    <t>Sans aide nationale : c'est l'écart prix occasion / revente actuelle qui finance.</t>
  </si>
  <si>
    <t>VE d'occasion visé</t>
  </si>
  <si>
    <t>Prix d'achat (€)</t>
  </si>
  <si>
    <t>Âge (ans)</t>
  </si>
  <si>
    <t>Au moment de l'achat.</t>
  </si>
  <si>
    <t>Km au compteur</t>
  </si>
  <si>
    <t>Information indicative.</t>
  </si>
  <si>
    <t>État batterie SoH (%)</t>
  </si>
  <si>
    <t>≥ 90 % excellent · 80-89 % correct · &lt; 80 % dégradée.</t>
  </si>
  <si>
    <t>Conso annoncée (kWh/100 km)</t>
  </si>
  <si>
    <t>Réserve risque batterie (€)</t>
  </si>
  <si>
    <t>Provision en cas de remplacement.</t>
  </si>
  <si>
    <t>Coût brut VE (prix + borne + réserve)</t>
  </si>
  <si>
    <t>Cash à sortir (apport net, €)</t>
  </si>
  <si>
    <t>Coût brut VE − revente actuelle.</t>
  </si>
  <si>
    <t>Facteur conso lié à SoH</t>
  </si>
  <si>
    <t>1 + (1 − SoH) × 0,3 — augmente la conso pour batterie usée.</t>
  </si>
  <si>
    <t>Conso VE effective (kWh/100 km)</t>
  </si>
  <si>
    <t>Conso annoncée × facteur SoH.</t>
  </si>
  <si>
    <t>Actuelle — résiduel après N ans (€)</t>
  </si>
  <si>
    <t>Mode 3 utilise un taux résiduel annuel fixe (0,88 = −12 %/an).</t>
  </si>
  <si>
    <t>VE occasion — résiduel après N ans (€)</t>
  </si>
  <si>
    <t>TOTAL « passer au VE occasion » (€)</t>
  </si>
  <si>
    <t>(Coût VE − revente VE) + N × usage − revente actuelle + dépréciation actuelle.</t>
  </si>
  <si>
    <t>Écart (Garder − VE occasion)</t>
  </si>
  <si>
    <t>Niveau de risque batterie</t>
  </si>
  <si>
    <t>≥ 90 % → faible · ≥ 80 % → modéré · sinon élevé.</t>
  </si>
  <si>
    <t>Cash à sortir (apport net)</t>
  </si>
  <si>
    <t>Sans aide nationale.</t>
  </si>
  <si>
    <t>Total — VE d'occasion</t>
  </si>
  <si>
    <t>Risque batterie</t>
  </si>
  <si>
    <t>Exigez un certificat SoH (Aviloo/Moba).</t>
  </si>
  <si>
    <t>À pondérer par le risque batterie.</t>
  </si>
  <si>
    <t>Synthèse — comparaison des 3 modes</t>
  </si>
  <si>
    <t>Récapitulatif des KPI principaux. Modifiez les saisies dans chaque feuille de mode.</t>
  </si>
  <si>
    <t>Indicateur</t>
  </si>
  <si>
    <t>Mode 1 (VE neuf vs th.)</t>
  </si>
  <si>
    <t>Mode 2 (revente pour VE)</t>
  </si>
  <si>
    <t>Mode 3 (VE occasion)</t>
  </si>
  <si>
    <t>TCO / Total — scénario alternatif</t>
  </si>
  <si>
    <t>TCO / Total — scénario de référence</t>
  </si>
  <si>
    <t>Écart en faveur du scénario alternatif</t>
  </si>
  <si>
    <t>Économie d'usage / an</t>
  </si>
  <si>
    <t>—</t>
  </si>
  <si>
    <t>Apport net (cash à sortir)</t>
  </si>
  <si>
    <t>Bascule / payback (années)</t>
  </si>
  <si>
    <t>Note :</t>
  </si>
  <si>
    <t>« Scénario alternatif » = VE neuf (mode 1) / passer au VE neuf (mode 2) / VE d'occasion (mode 3).</t>
  </si>
  <si>
    <t>« Scénario de référence » = thermique neuf (mode 1) / garder l'actuelle (modes 2 et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</si>
</sst>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&quot; €&quot;;[Red]\-#,##0&quot; €&quot;;\—"/>
    <numFmt numFmtId="165" formatCode="0.000"/>
    <numFmt numFmtId="166" formatCode="0.0%"/>
    <numFmt numFmtId="167" formatCode="#,##0&quot; km&quot;"/>
    <numFmt numFmtId="168" formatCode="0.0&quot; kWh/100 km&quot;"/>
    <numFmt numFmtId="169" formatCode="0.0&quot; L/100 km&quot;"/>
    <numFmt numFmtId="170" formatCode="#,##0&quot; €/an&quot;;[Red]\-#,##0&quot; €/an&quot;;\—"/>
    <numFmt numFmtId="171" formatCode="0.0&quot; ans&quot;"/>
    <numFmt numFmtId="172" formatCode="0.000&quot; €/km&quot;"/>
    <numFmt numFmtId="173" formatCode="#,##0&quot; €/mois&quot;;[Red]\-#,##0&quot; €/mois&quot;;\—"/>
  </numFmts>
  <fonts count="14" x14ac:knownFonts="1">
    <font>
      <sz val="11"/>
      <color theme="1"/>
      <name val="Calibri"/>
      <family val="2"/>
      <charset val="1"/>
    </font>
    <font>
      <b/>
      <sz val="14"/>
      <color rgb="FF000091"/>
      <name val="Arial"/>
      <family val="2"/>
    </font>
    <font>
      <i/>
      <sz val="9"/>
      <color rgb="FF666666"/>
      <name val="Arial"/>
      <family val="2"/>
    </font>
    <font>
      <b/>
      <sz val="11"/>
      <color rgb="FF00009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9"/>
      <color rgb="FF666666"/>
      <name val="Arial"/>
      <family val="2"/>
    </font>
    <font>
      <b/>
      <sz val="18"/>
      <color rgb="FF18753C"/>
      <name val="Arial"/>
      <family val="2"/>
    </font>
    <font>
      <b/>
      <sz val="18"/>
      <color rgb="FFB34000"/>
      <name val="Arial"/>
      <family val="2"/>
    </font>
    <font>
      <b/>
      <sz val="18"/>
      <color rgb="FF000091"/>
      <name val="Arial"/>
      <family val="2"/>
    </font>
    <font>
      <b/>
      <sz val="18"/>
      <color rgb="FF666666"/>
      <name val="Arial"/>
      <family val="2"/>
    </font>
    <font>
      <sz val="10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3E3FD"/>
        <bgColor rgb="FFF5F5FE"/>
      </patternFill>
    </fill>
    <fill>
      <patternFill patternType="solid">
        <fgColor rgb="FF000091"/>
        <bgColor rgb="FF000080"/>
      </patternFill>
    </fill>
    <fill>
      <patternFill patternType="solid">
        <fgColor rgb="FFFFFFE0"/>
        <bgColor rgb="FFFFFFFF"/>
      </patternFill>
    </fill>
    <fill>
      <patternFill patternType="solid">
        <fgColor rgb="FFEDF7EE"/>
        <bgColor rgb="FFF5F5F5"/>
      </patternFill>
    </fill>
    <fill>
      <patternFill patternType="solid">
        <fgColor rgb="FFFFF1E6"/>
        <bgColor rgb="FFF5F5F5"/>
      </patternFill>
    </fill>
    <fill>
      <patternFill patternType="solid">
        <fgColor rgb="FFF5F5FE"/>
        <bgColor rgb="FFF5F5F5"/>
      </patternFill>
    </fill>
    <fill>
      <patternFill patternType="solid">
        <fgColor rgb="FFF5F5F5"/>
        <bgColor rgb="FFF5F5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5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5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2" fontId="5" fillId="4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right" vertical="center"/>
    </xf>
    <xf numFmtId="3" fontId="5" fillId="4" borderId="0" xfId="0" applyNumberFormat="1" applyFont="1" applyFill="1" applyAlignment="1">
      <alignment horizontal="right" vertical="center"/>
    </xf>
    <xf numFmtId="168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9" fontId="5" fillId="4" borderId="0" xfId="0" applyNumberFormat="1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71" fontId="6" fillId="0" borderId="0" xfId="0" applyNumberFormat="1" applyFont="1" applyAlignment="1">
      <alignment horizontal="right" vertical="center"/>
    </xf>
    <xf numFmtId="172" fontId="6" fillId="0" borderId="0" xfId="0" applyNumberFormat="1" applyFont="1" applyAlignment="1">
      <alignment horizontal="right" vertical="center"/>
    </xf>
    <xf numFmtId="0" fontId="8" fillId="5" borderId="0" xfId="0" applyFont="1" applyFill="1" applyAlignment="1">
      <alignment horizontal="left" vertical="center" wrapText="1"/>
    </xf>
    <xf numFmtId="164" fontId="9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164" fontId="10" fillId="6" borderId="0" xfId="0" applyNumberFormat="1" applyFont="1" applyFill="1" applyAlignment="1">
      <alignment horizontal="right" vertical="center"/>
    </xf>
    <xf numFmtId="0" fontId="8" fillId="7" borderId="0" xfId="0" applyFont="1" applyFill="1" applyAlignment="1">
      <alignment horizontal="left" vertical="center" wrapText="1"/>
    </xf>
    <xf numFmtId="164" fontId="11" fillId="7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 wrapText="1"/>
    </xf>
    <xf numFmtId="173" fontId="11" fillId="7" borderId="0" xfId="0" applyNumberFormat="1" applyFont="1" applyFill="1" applyAlignment="1">
      <alignment horizontal="right" vertical="center"/>
    </xf>
    <xf numFmtId="171" fontId="11" fillId="7" borderId="0" xfId="0" applyNumberFormat="1" applyFont="1" applyFill="1" applyAlignment="1">
      <alignment horizontal="right" vertical="center"/>
    </xf>
    <xf numFmtId="172" fontId="9" fillId="5" borderId="0" xfId="0" applyNumberFormat="1" applyFont="1" applyFill="1" applyAlignment="1">
      <alignment horizontal="right" vertical="center"/>
    </xf>
    <xf numFmtId="172" fontId="10" fillId="6" borderId="0" xfId="0" applyNumberFormat="1" applyFont="1" applyFill="1" applyAlignment="1">
      <alignment horizontal="right" vertical="center"/>
    </xf>
    <xf numFmtId="0" fontId="8" fillId="8" borderId="0" xfId="0" applyFont="1" applyFill="1" applyAlignment="1">
      <alignment horizontal="left" vertical="center" wrapText="1"/>
    </xf>
    <xf numFmtId="49" fontId="12" fillId="8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left" vertical="center" wrapText="1"/>
    </xf>
    <xf numFmtId="170" fontId="7" fillId="0" borderId="0" xfId="0" applyNumberFormat="1" applyFont="1" applyAlignment="1">
      <alignment horizontal="right" vertical="center"/>
    </xf>
    <xf numFmtId="0" fontId="2" fillId="6" borderId="0" xfId="0" applyFont="1" applyFill="1" applyAlignment="1">
      <alignment horizontal="left" vertical="center" wrapText="1"/>
    </xf>
    <xf numFmtId="168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64" fontId="13" fillId="0" borderId="0" xfId="0" applyNumberFormat="1" applyFont="1" applyAlignment="1">
      <alignment horizontal="right" vertical="center"/>
    </xf>
    <xf numFmtId="170" fontId="13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171" fontId="13" fillId="0" borderId="0" xfId="0" applyNumberFormat="1" applyFont="1" applyAlignment="1">
      <alignment horizontal="right" vertical="center"/>
    </xf>
    <xf numFmtId="49" fontId="13" fillId="0" borderId="0" xfId="0" applyNumberFormat="1" applyFont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1"/>
      <rgbColor rgb="FF808000"/>
      <rgbColor rgb="FF800080"/>
      <rgbColor rgb="FF18753C"/>
      <rgbColor rgb="FFC0C0C0"/>
      <rgbColor rgb="FF808080"/>
      <rgbColor rgb="FF9999FF"/>
      <rgbColor rgb="FF993366"/>
      <rgbColor rgb="FFFFFFE0"/>
      <rgbColor rgb="FFEDF7EE"/>
      <rgbColor rgb="FF660066"/>
      <rgbColor rgb="FFFF8080"/>
      <rgbColor rgb="FF0066CC"/>
      <rgbColor rgb="FFE3E3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E"/>
      <rgbColor rgb="FFF5F5F5"/>
      <rgbColor rgb="FFFFF1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34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44" customWidth="1"/>
    <col min="2" max="2" width="16" customWidth="1"/>
    <col min="3" max="3" width="18" customWidth="1"/>
    <col min="4" max="4" width="50" customWidth="1"/>
  </cols>
  <sheetData>
    <row r="1" spans="1:4" ht="18" x14ac:dyDescent="0.2">
      <c r="A1" s="2" t="s">
        <v>0</v>
      </c>
      <c r="B1" s="2"/>
      <c r="C1" s="2"/>
      <c r="D1" s="2"/>
    </row>
    <row r="2" spans="1:4" x14ac:dyDescent="0.2">
      <c r="A2" s="1" t="s">
        <v>1</v>
      </c>
      <c r="B2" s="1"/>
      <c r="C2" s="1"/>
      <c r="D2" s="1"/>
    </row>
    <row r="4" spans="1:4" ht="19.5" customHeight="1" x14ac:dyDescent="0.2">
      <c r="A4" s="4" t="s">
        <v>2</v>
      </c>
      <c r="B4" s="5"/>
      <c r="C4" s="5"/>
      <c r="D4" s="5"/>
    </row>
    <row r="5" spans="1:4" x14ac:dyDescent="0.2">
      <c r="A5" s="6" t="s">
        <v>3</v>
      </c>
      <c r="B5" s="6" t="s">
        <v>4</v>
      </c>
    </row>
    <row r="6" spans="1:4" ht="16" x14ac:dyDescent="0.2">
      <c r="A6" s="7" t="s">
        <v>5</v>
      </c>
      <c r="B6" s="8">
        <v>5700</v>
      </c>
    </row>
    <row r="7" spans="1:4" ht="16" x14ac:dyDescent="0.2">
      <c r="A7" s="7" t="s">
        <v>6</v>
      </c>
      <c r="B7" s="8">
        <v>4700</v>
      </c>
    </row>
    <row r="8" spans="1:4" ht="16" x14ac:dyDescent="0.2">
      <c r="A8" s="7" t="s">
        <v>7</v>
      </c>
      <c r="B8" s="8">
        <v>3500</v>
      </c>
    </row>
    <row r="9" spans="1:4" x14ac:dyDescent="0.2">
      <c r="D9" s="3" t="s">
        <v>8</v>
      </c>
    </row>
    <row r="10" spans="1:4" ht="19.5" customHeight="1" x14ac:dyDescent="0.2">
      <c r="A10" s="4" t="s">
        <v>9</v>
      </c>
      <c r="B10" s="5"/>
      <c r="C10" s="5"/>
      <c r="D10" s="5"/>
    </row>
    <row r="11" spans="1:4" x14ac:dyDescent="0.2">
      <c r="A11" s="9" t="s">
        <v>10</v>
      </c>
      <c r="B11" s="8">
        <v>0</v>
      </c>
    </row>
    <row r="12" spans="1:4" x14ac:dyDescent="0.2">
      <c r="A12" s="9" t="s">
        <v>11</v>
      </c>
      <c r="B12" s="8">
        <v>1500</v>
      </c>
      <c r="D12" s="10" t="s">
        <v>12</v>
      </c>
    </row>
    <row r="13" spans="1:4" x14ac:dyDescent="0.2">
      <c r="A13" s="9" t="s">
        <v>13</v>
      </c>
      <c r="B13" s="8">
        <v>2000</v>
      </c>
    </row>
    <row r="15" spans="1:4" ht="19.5" customHeight="1" x14ac:dyDescent="0.2">
      <c r="A15" s="4" t="s">
        <v>14</v>
      </c>
      <c r="B15" s="5"/>
      <c r="C15" s="5"/>
      <c r="D15" s="5"/>
    </row>
    <row r="16" spans="1:4" x14ac:dyDescent="0.2">
      <c r="A16" s="9" t="s">
        <v>15</v>
      </c>
      <c r="B16" s="11">
        <v>0.18</v>
      </c>
      <c r="D16" s="10" t="s">
        <v>16</v>
      </c>
    </row>
    <row r="17" spans="1:4" x14ac:dyDescent="0.2">
      <c r="A17" s="9" t="s">
        <v>17</v>
      </c>
      <c r="B17" s="11">
        <v>0.24</v>
      </c>
      <c r="D17" s="10" t="s">
        <v>18</v>
      </c>
    </row>
    <row r="18" spans="1:4" x14ac:dyDescent="0.2">
      <c r="A18" s="9" t="s">
        <v>19</v>
      </c>
      <c r="B18" s="11">
        <v>0.6</v>
      </c>
      <c r="D18" s="10" t="s">
        <v>20</v>
      </c>
    </row>
    <row r="19" spans="1:4" x14ac:dyDescent="0.2">
      <c r="A19" s="9" t="s">
        <v>21</v>
      </c>
      <c r="B19" s="11">
        <v>0.2</v>
      </c>
      <c r="D19" s="10" t="s">
        <v>22</v>
      </c>
    </row>
    <row r="20" spans="1:4" x14ac:dyDescent="0.2">
      <c r="A20" s="9" t="s">
        <v>23</v>
      </c>
      <c r="B20" s="11">
        <v>1.75</v>
      </c>
      <c r="D20" s="10" t="s">
        <v>24</v>
      </c>
    </row>
    <row r="21" spans="1:4" x14ac:dyDescent="0.2">
      <c r="A21" s="9" t="s">
        <v>25</v>
      </c>
      <c r="B21" s="11">
        <v>1.65</v>
      </c>
      <c r="D21" s="10" t="s">
        <v>24</v>
      </c>
    </row>
    <row r="23" spans="1:4" ht="19.5" customHeight="1" x14ac:dyDescent="0.2">
      <c r="A23" s="4" t="s">
        <v>26</v>
      </c>
      <c r="B23" s="5"/>
      <c r="C23" s="5"/>
      <c r="D23" s="5"/>
    </row>
    <row r="24" spans="1:4" x14ac:dyDescent="0.2">
      <c r="A24" s="9" t="s">
        <v>27</v>
      </c>
      <c r="B24" s="12">
        <v>0.45</v>
      </c>
      <c r="D24" s="10" t="s">
        <v>28</v>
      </c>
    </row>
    <row r="25" spans="1:4" x14ac:dyDescent="0.2">
      <c r="A25" s="9" t="s">
        <v>29</v>
      </c>
      <c r="B25" s="12">
        <v>0.4</v>
      </c>
      <c r="D25" s="10" t="s">
        <v>28</v>
      </c>
    </row>
    <row r="26" spans="1:4" x14ac:dyDescent="0.2">
      <c r="A26" s="9" t="s">
        <v>30</v>
      </c>
      <c r="B26" s="12">
        <v>0.55000000000000004</v>
      </c>
      <c r="D26" s="10" t="s">
        <v>28</v>
      </c>
    </row>
    <row r="27" spans="1:4" x14ac:dyDescent="0.2">
      <c r="A27" s="9" t="s">
        <v>31</v>
      </c>
      <c r="B27" s="12">
        <v>0.12</v>
      </c>
      <c r="D27" s="10" t="s">
        <v>32</v>
      </c>
    </row>
    <row r="28" spans="1:4" x14ac:dyDescent="0.2">
      <c r="A28" s="9" t="s">
        <v>33</v>
      </c>
      <c r="B28" s="12">
        <v>0.88</v>
      </c>
      <c r="D28" s="10" t="s">
        <v>34</v>
      </c>
    </row>
    <row r="30" spans="1:4" ht="19.5" customHeight="1" x14ac:dyDescent="0.2">
      <c r="A30" s="4" t="s">
        <v>35</v>
      </c>
      <c r="B30" s="5"/>
      <c r="C30" s="5"/>
      <c r="D30" s="5"/>
    </row>
    <row r="31" spans="1:4" x14ac:dyDescent="0.2">
      <c r="A31" s="9" t="s">
        <v>36</v>
      </c>
      <c r="B31" s="8">
        <v>250</v>
      </c>
      <c r="D31" s="10" t="s">
        <v>37</v>
      </c>
    </row>
    <row r="32" spans="1:4" x14ac:dyDescent="0.2">
      <c r="A32" s="9" t="s">
        <v>38</v>
      </c>
      <c r="B32" s="8">
        <v>300</v>
      </c>
    </row>
    <row r="33" spans="1:4" x14ac:dyDescent="0.2">
      <c r="A33" s="9" t="s">
        <v>39</v>
      </c>
      <c r="B33" s="8">
        <v>600</v>
      </c>
      <c r="D33" s="10" t="s">
        <v>40</v>
      </c>
    </row>
    <row r="34" spans="1:4" x14ac:dyDescent="0.2">
      <c r="A34" s="9" t="s">
        <v>41</v>
      </c>
      <c r="B34" s="8">
        <v>700</v>
      </c>
    </row>
    <row r="35" spans="1:4" x14ac:dyDescent="0.2">
      <c r="A35" s="9" t="s">
        <v>42</v>
      </c>
      <c r="B35" s="8">
        <v>650</v>
      </c>
      <c r="D35" s="10" t="s">
        <v>43</v>
      </c>
    </row>
    <row r="36" spans="1:4" x14ac:dyDescent="0.2">
      <c r="A36" s="9" t="s">
        <v>44</v>
      </c>
      <c r="B36" s="8">
        <v>600</v>
      </c>
    </row>
    <row r="37" spans="1:4" x14ac:dyDescent="0.2">
      <c r="A37" s="9" t="s">
        <v>45</v>
      </c>
      <c r="B37" s="8">
        <v>600</v>
      </c>
    </row>
    <row r="38" spans="1:4" x14ac:dyDescent="0.2">
      <c r="A38" s="9" t="s">
        <v>46</v>
      </c>
      <c r="B38" s="8">
        <v>550</v>
      </c>
    </row>
    <row r="40" spans="1:4" ht="19.5" customHeight="1" x14ac:dyDescent="0.2">
      <c r="A40" s="4" t="s">
        <v>47</v>
      </c>
      <c r="B40" s="5"/>
      <c r="C40" s="5"/>
      <c r="D40" s="5"/>
    </row>
    <row r="41" spans="1:4" x14ac:dyDescent="0.2">
      <c r="A41" s="9" t="s">
        <v>48</v>
      </c>
      <c r="B41" s="8">
        <v>1200</v>
      </c>
      <c r="D41" s="10" t="s">
        <v>49</v>
      </c>
    </row>
    <row r="42" spans="1:4" x14ac:dyDescent="0.2">
      <c r="A42" s="3" t="s">
        <v>50</v>
      </c>
      <c r="D42" s="3" t="s">
        <v>51</v>
      </c>
    </row>
    <row r="44" spans="1:4" ht="19.5" customHeight="1" x14ac:dyDescent="0.2">
      <c r="A44" s="4" t="s">
        <v>52</v>
      </c>
      <c r="B44" s="5"/>
      <c r="C44" s="5"/>
      <c r="D44" s="5"/>
    </row>
    <row r="45" spans="1:4" x14ac:dyDescent="0.2">
      <c r="A45" s="9" t="s">
        <v>53</v>
      </c>
      <c r="B45" s="8">
        <v>1500</v>
      </c>
      <c r="D45" s="10" t="s">
        <v>54</v>
      </c>
    </row>
    <row r="46" spans="1:4" x14ac:dyDescent="0.2">
      <c r="A46" s="9" t="s">
        <v>55</v>
      </c>
      <c r="B46" s="13">
        <v>0.3</v>
      </c>
      <c r="D46" s="10" t="s">
        <v>56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81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42" customWidth="1"/>
    <col min="3" max="3" width="47.33203125" customWidth="1"/>
    <col min="4" max="4" width="50" customWidth="1"/>
  </cols>
  <sheetData>
    <row r="1" spans="2:4" ht="18" x14ac:dyDescent="0.2">
      <c r="B1" s="2" t="s">
        <v>57</v>
      </c>
      <c r="C1" s="2"/>
      <c r="D1" s="2"/>
    </row>
    <row r="2" spans="2:4" x14ac:dyDescent="0.2">
      <c r="B2" s="1" t="s">
        <v>58</v>
      </c>
      <c r="C2" s="1"/>
      <c r="D2" s="1"/>
    </row>
    <row r="4" spans="2:4" ht="19.5" customHeight="1" x14ac:dyDescent="0.2">
      <c r="B4" s="4" t="s">
        <v>59</v>
      </c>
      <c r="C4" s="5"/>
      <c r="D4" s="5"/>
    </row>
    <row r="5" spans="2:4" ht="16" x14ac:dyDescent="0.2">
      <c r="B5" s="7" t="s">
        <v>60</v>
      </c>
      <c r="C5" s="14">
        <v>13000</v>
      </c>
      <c r="D5" s="10" t="s">
        <v>61</v>
      </c>
    </row>
    <row r="6" spans="2:4" ht="16" x14ac:dyDescent="0.2">
      <c r="B6" s="7" t="s">
        <v>62</v>
      </c>
      <c r="C6" s="15">
        <v>5</v>
      </c>
      <c r="D6" s="10" t="s">
        <v>63</v>
      </c>
    </row>
    <row r="8" spans="2:4" ht="19.5" customHeight="1" x14ac:dyDescent="0.2">
      <c r="B8" s="4" t="s">
        <v>64</v>
      </c>
      <c r="C8" s="5"/>
      <c r="D8" s="5"/>
    </row>
    <row r="9" spans="2:4" ht="16" x14ac:dyDescent="0.2">
      <c r="B9" s="7" t="s">
        <v>65</v>
      </c>
      <c r="C9" s="8">
        <v>32000</v>
      </c>
      <c r="D9" s="10" t="s">
        <v>66</v>
      </c>
    </row>
    <row r="10" spans="2:4" ht="16" x14ac:dyDescent="0.2">
      <c r="B10" s="7" t="s">
        <v>67</v>
      </c>
      <c r="C10" s="16">
        <v>16</v>
      </c>
      <c r="D10" s="10" t="s">
        <v>68</v>
      </c>
    </row>
    <row r="11" spans="2:4" ht="26" x14ac:dyDescent="0.2">
      <c r="B11" s="7" t="s">
        <v>69</v>
      </c>
      <c r="C11" s="8">
        <v>4700</v>
      </c>
      <c r="D11" s="10" t="s">
        <v>70</v>
      </c>
    </row>
    <row r="12" spans="2:4" ht="16" x14ac:dyDescent="0.2">
      <c r="B12" s="7" t="s">
        <v>71</v>
      </c>
      <c r="C12" s="8">
        <v>1500</v>
      </c>
      <c r="D12" s="10" t="s">
        <v>72</v>
      </c>
    </row>
    <row r="13" spans="2:4" ht="16" x14ac:dyDescent="0.2">
      <c r="B13" s="7" t="s">
        <v>73</v>
      </c>
      <c r="C13" s="8">
        <v>1200</v>
      </c>
      <c r="D13" s="10" t="s">
        <v>74</v>
      </c>
    </row>
    <row r="15" spans="2:4" ht="19.5" customHeight="1" x14ac:dyDescent="0.2">
      <c r="B15" s="4" t="s">
        <v>75</v>
      </c>
      <c r="C15" s="5"/>
      <c r="D15" s="5"/>
    </row>
    <row r="16" spans="2:4" ht="16" x14ac:dyDescent="0.2">
      <c r="B16" s="7" t="s">
        <v>76</v>
      </c>
      <c r="C16" s="8">
        <v>25000</v>
      </c>
    </row>
    <row r="17" spans="2:4" ht="16" x14ac:dyDescent="0.2">
      <c r="B17" s="7" t="s">
        <v>77</v>
      </c>
      <c r="C17" s="17" t="s">
        <v>78</v>
      </c>
      <c r="D17" s="10" t="s">
        <v>79</v>
      </c>
    </row>
    <row r="18" spans="2:4" ht="16" x14ac:dyDescent="0.2">
      <c r="B18" s="7" t="s">
        <v>80</v>
      </c>
      <c r="C18" s="18">
        <v>6</v>
      </c>
    </row>
    <row r="19" spans="2:4" ht="16" x14ac:dyDescent="0.2">
      <c r="B19" s="7" t="s">
        <v>81</v>
      </c>
      <c r="C19" s="8">
        <v>0</v>
      </c>
      <c r="D19" s="10" t="s">
        <v>82</v>
      </c>
    </row>
    <row r="21" spans="2:4" ht="19.5" customHeight="1" x14ac:dyDescent="0.2">
      <c r="B21" s="4" t="s">
        <v>83</v>
      </c>
      <c r="C21" s="5"/>
      <c r="D21" s="5"/>
    </row>
    <row r="22" spans="2:4" ht="16" x14ac:dyDescent="0.2">
      <c r="B22" s="7" t="s">
        <v>84</v>
      </c>
      <c r="C22" s="11">
        <v>0.18</v>
      </c>
    </row>
    <row r="23" spans="2:4" ht="16" x14ac:dyDescent="0.2">
      <c r="B23" s="7" t="s">
        <v>85</v>
      </c>
      <c r="C23" s="11">
        <v>0.24</v>
      </c>
    </row>
    <row r="24" spans="2:4" ht="16" x14ac:dyDescent="0.2">
      <c r="B24" s="7" t="s">
        <v>86</v>
      </c>
      <c r="C24" s="11">
        <v>0.6</v>
      </c>
    </row>
    <row r="25" spans="2:4" ht="16" x14ac:dyDescent="0.2">
      <c r="B25" s="7" t="s">
        <v>87</v>
      </c>
      <c r="C25" s="11">
        <v>1.75</v>
      </c>
    </row>
    <row r="26" spans="2:4" ht="16" x14ac:dyDescent="0.2">
      <c r="B26" s="7" t="s">
        <v>25</v>
      </c>
      <c r="C26" s="11">
        <v>1.65</v>
      </c>
    </row>
    <row r="28" spans="2:4" ht="19.5" customHeight="1" x14ac:dyDescent="0.2">
      <c r="B28" s="4" t="s">
        <v>88</v>
      </c>
      <c r="C28" s="5"/>
      <c r="D28" s="5"/>
    </row>
    <row r="29" spans="2:4" ht="26" x14ac:dyDescent="0.2">
      <c r="B29" s="7" t="s">
        <v>89</v>
      </c>
      <c r="C29" s="15">
        <v>70</v>
      </c>
      <c r="D29" s="10" t="s">
        <v>90</v>
      </c>
    </row>
    <row r="30" spans="2:4" ht="16" x14ac:dyDescent="0.2">
      <c r="B30" s="7" t="s">
        <v>91</v>
      </c>
      <c r="C30" s="15">
        <v>20</v>
      </c>
    </row>
    <row r="31" spans="2:4" ht="16" x14ac:dyDescent="0.2">
      <c r="B31" s="7" t="s">
        <v>92</v>
      </c>
      <c r="C31" s="15">
        <v>10</v>
      </c>
    </row>
    <row r="33" spans="2:4" ht="19.5" customHeight="1" x14ac:dyDescent="0.2">
      <c r="B33" s="4" t="s">
        <v>93</v>
      </c>
      <c r="C33" s="5"/>
      <c r="D33" s="5"/>
    </row>
    <row r="34" spans="2:4" ht="16" x14ac:dyDescent="0.2">
      <c r="B34" s="7" t="s">
        <v>94</v>
      </c>
      <c r="C34" s="8">
        <v>250</v>
      </c>
    </row>
    <row r="35" spans="2:4" ht="16" x14ac:dyDescent="0.2">
      <c r="B35" s="7" t="s">
        <v>95</v>
      </c>
      <c r="C35" s="8">
        <v>600</v>
      </c>
    </row>
    <row r="36" spans="2:4" ht="16" x14ac:dyDescent="0.2">
      <c r="B36" s="7" t="s">
        <v>96</v>
      </c>
      <c r="C36" s="8">
        <v>650</v>
      </c>
    </row>
    <row r="37" spans="2:4" ht="16" x14ac:dyDescent="0.2">
      <c r="B37" s="7" t="s">
        <v>97</v>
      </c>
      <c r="C37" s="8">
        <v>600</v>
      </c>
    </row>
    <row r="39" spans="2:4" ht="19.5" customHeight="1" x14ac:dyDescent="0.2">
      <c r="B39" s="4" t="s">
        <v>98</v>
      </c>
      <c r="C39" s="5"/>
      <c r="D39" s="5"/>
    </row>
    <row r="40" spans="2:4" ht="16" x14ac:dyDescent="0.2">
      <c r="B40" s="7" t="s">
        <v>99</v>
      </c>
      <c r="C40" s="12">
        <v>0.45</v>
      </c>
      <c r="D40" s="10" t="s">
        <v>100</v>
      </c>
    </row>
    <row r="41" spans="2:4" ht="16" x14ac:dyDescent="0.2">
      <c r="B41" s="7" t="s">
        <v>101</v>
      </c>
      <c r="C41" s="12">
        <v>0.4</v>
      </c>
    </row>
    <row r="44" spans="2:4" ht="19.5" customHeight="1" x14ac:dyDescent="0.2">
      <c r="B44" s="4" t="s">
        <v>102</v>
      </c>
      <c r="C44" s="5"/>
      <c r="D44" s="5"/>
    </row>
    <row r="45" spans="2:4" ht="16" x14ac:dyDescent="0.2">
      <c r="B45" s="7" t="s">
        <v>103</v>
      </c>
      <c r="C45" s="19">
        <f>$C$29+$C$30+$C$31</f>
        <v>100</v>
      </c>
      <c r="D45" s="10" t="s">
        <v>104</v>
      </c>
    </row>
    <row r="46" spans="2:4" ht="16" x14ac:dyDescent="0.2">
      <c r="B46" s="7" t="s">
        <v>105</v>
      </c>
      <c r="C46" s="20">
        <f>IF(AND($C$45&gt;0,ABS($C$45-100)&gt;1),$C$29/$C$45,$C$29/100)</f>
        <v>0.7</v>
      </c>
      <c r="D46" s="10" t="s">
        <v>106</v>
      </c>
    </row>
    <row r="47" spans="2:4" ht="16" x14ac:dyDescent="0.2">
      <c r="B47" s="7" t="s">
        <v>107</v>
      </c>
      <c r="C47" s="20">
        <f>IF(AND($C$45&gt;0,ABS($C$45-100)&gt;1),$C$30/$C$45,$C$30/100)</f>
        <v>0.2</v>
      </c>
    </row>
    <row r="48" spans="2:4" ht="16" x14ac:dyDescent="0.2">
      <c r="B48" s="7" t="s">
        <v>108</v>
      </c>
      <c r="C48" s="20">
        <f>IF(AND($C$45&gt;0,ABS($C$45-100)&gt;1),$C$31/$C$45,$C$31/100)</f>
        <v>0.1</v>
      </c>
    </row>
    <row r="49" spans="2:4" ht="16" x14ac:dyDescent="0.2">
      <c r="B49" s="7" t="s">
        <v>109</v>
      </c>
      <c r="C49" s="21">
        <f>$C$46*$C$22+$C$47*$C$23+$C$48*$C$24</f>
        <v>0.23399999999999999</v>
      </c>
      <c r="D49" s="10" t="s">
        <v>110</v>
      </c>
    </row>
    <row r="50" spans="2:4" ht="16" x14ac:dyDescent="0.2">
      <c r="B50" s="7" t="s">
        <v>111</v>
      </c>
      <c r="C50" s="21">
        <f>IF($C$17="essence",$C$25,$C$26)</f>
        <v>1.75</v>
      </c>
    </row>
    <row r="51" spans="2:4" ht="16" x14ac:dyDescent="0.2">
      <c r="B51" s="7" t="s">
        <v>112</v>
      </c>
      <c r="C51" s="22">
        <f>$C$11+$C$12</f>
        <v>6200</v>
      </c>
      <c r="D51" s="10" t="s">
        <v>113</v>
      </c>
    </row>
    <row r="52" spans="2:4" ht="16" x14ac:dyDescent="0.2">
      <c r="B52" s="7" t="s">
        <v>114</v>
      </c>
      <c r="C52" s="22">
        <f>$C$9-$C$51+$C$13</f>
        <v>27000</v>
      </c>
      <c r="D52" s="10" t="s">
        <v>115</v>
      </c>
    </row>
    <row r="53" spans="2:4" ht="16" x14ac:dyDescent="0.2">
      <c r="B53" s="7" t="s">
        <v>116</v>
      </c>
      <c r="C53" s="22">
        <f>$C$16+$C$19</f>
        <v>25000</v>
      </c>
      <c r="D53" s="10" t="s">
        <v>117</v>
      </c>
    </row>
    <row r="54" spans="2:4" ht="16" x14ac:dyDescent="0.2">
      <c r="B54" s="7" t="s">
        <v>118</v>
      </c>
      <c r="C54" s="23">
        <f>$C$10/100*$C$5*$C$49</f>
        <v>486.71999999999997</v>
      </c>
    </row>
    <row r="55" spans="2:4" ht="16" x14ac:dyDescent="0.2">
      <c r="B55" s="7" t="s">
        <v>119</v>
      </c>
      <c r="C55" s="23">
        <f>$C$18/100*$C$5*$C$50</f>
        <v>1365</v>
      </c>
    </row>
    <row r="56" spans="2:4" ht="16" x14ac:dyDescent="0.2">
      <c r="B56" s="7" t="s">
        <v>120</v>
      </c>
      <c r="C56" s="23">
        <f>$C$54+$C$34+$C$36</f>
        <v>1386.72</v>
      </c>
      <c r="D56" s="10" t="s">
        <v>121</v>
      </c>
    </row>
    <row r="57" spans="2:4" ht="16" x14ac:dyDescent="0.2">
      <c r="B57" s="7" t="s">
        <v>122</v>
      </c>
      <c r="C57" s="23">
        <f>$C$55+$C$35+$C$37</f>
        <v>2565</v>
      </c>
    </row>
    <row r="58" spans="2:4" ht="16" x14ac:dyDescent="0.2">
      <c r="B58" s="7" t="s">
        <v>123</v>
      </c>
      <c r="C58" s="22">
        <f>$C$56*$C$6</f>
        <v>6933.6</v>
      </c>
    </row>
    <row r="59" spans="2:4" ht="16" x14ac:dyDescent="0.2">
      <c r="B59" s="7" t="s">
        <v>124</v>
      </c>
      <c r="C59" s="22">
        <f>$C$57*$C$6</f>
        <v>12825</v>
      </c>
    </row>
    <row r="60" spans="2:4" ht="16" x14ac:dyDescent="0.2">
      <c r="B60" s="7" t="s">
        <v>125</v>
      </c>
      <c r="C60" s="22">
        <f>$C$9*$C$40</f>
        <v>14400</v>
      </c>
    </row>
    <row r="61" spans="2:4" ht="16" x14ac:dyDescent="0.2">
      <c r="B61" s="7" t="s">
        <v>126</v>
      </c>
      <c r="C61" s="22">
        <f>$C$16*$C$41</f>
        <v>10000</v>
      </c>
    </row>
    <row r="62" spans="2:4" ht="16" x14ac:dyDescent="0.2">
      <c r="B62" s="7" t="s">
        <v>127</v>
      </c>
      <c r="C62" s="24">
        <f>$C$52+$C$58-$C$60</f>
        <v>19533.599999999999</v>
      </c>
      <c r="D62" s="10" t="s">
        <v>128</v>
      </c>
    </row>
    <row r="63" spans="2:4" ht="16" x14ac:dyDescent="0.2">
      <c r="B63" s="7" t="s">
        <v>129</v>
      </c>
      <c r="C63" s="24">
        <f>$C$53+$C$59-$C$61</f>
        <v>27825</v>
      </c>
    </row>
    <row r="64" spans="2:4" ht="16" x14ac:dyDescent="0.2">
      <c r="B64" s="7" t="s">
        <v>130</v>
      </c>
      <c r="C64" s="24">
        <f>$C$63-$C$62</f>
        <v>8291.4000000000015</v>
      </c>
      <c r="D64" s="10" t="s">
        <v>131</v>
      </c>
    </row>
    <row r="65" spans="2:4" ht="16" x14ac:dyDescent="0.2">
      <c r="B65" s="7" t="s">
        <v>132</v>
      </c>
      <c r="C65" s="22">
        <f>$C$52-$C$53</f>
        <v>2000</v>
      </c>
    </row>
    <row r="66" spans="2:4" ht="16" x14ac:dyDescent="0.2">
      <c r="B66" s="7" t="s">
        <v>133</v>
      </c>
      <c r="C66" s="23">
        <f>$C$57-$C$56</f>
        <v>1178.28</v>
      </c>
    </row>
    <row r="67" spans="2:4" ht="16" x14ac:dyDescent="0.2">
      <c r="B67" s="7" t="s">
        <v>134</v>
      </c>
      <c r="C67" s="25">
        <f>IF(AND($C$66&gt;0,$C$65&gt;0),$C$65/$C$66,IF($C$65&lt;=0,0,"N/A"))</f>
        <v>1.6973894150796076</v>
      </c>
      <c r="D67" s="10" t="s">
        <v>135</v>
      </c>
    </row>
    <row r="68" spans="2:4" ht="16" x14ac:dyDescent="0.2">
      <c r="B68" s="7" t="s">
        <v>136</v>
      </c>
      <c r="C68" s="26">
        <f>$C$62/MAX(1,$C$5*$C$6)</f>
        <v>0.30051692307692307</v>
      </c>
    </row>
    <row r="69" spans="2:4" ht="16" x14ac:dyDescent="0.2">
      <c r="B69" s="7" t="s">
        <v>137</v>
      </c>
      <c r="C69" s="26">
        <f>$C$63/MAX(1,$C$5*$C$6)</f>
        <v>0.42807692307692308</v>
      </c>
    </row>
    <row r="70" spans="2:4" ht="16" x14ac:dyDescent="0.2">
      <c r="B70" s="7" t="s">
        <v>138</v>
      </c>
      <c r="C70" s="20">
        <f>ABS($C$64)/MAX($C$62,$C$63)</f>
        <v>0.29798382749326152</v>
      </c>
    </row>
    <row r="73" spans="2:4" ht="19.5" customHeight="1" x14ac:dyDescent="0.2">
      <c r="B73" s="4" t="s">
        <v>139</v>
      </c>
      <c r="C73" s="5"/>
      <c r="D73" s="5"/>
    </row>
    <row r="74" spans="2:4" ht="31.5" customHeight="1" x14ac:dyDescent="0.2">
      <c r="B74" s="27" t="s">
        <v>140</v>
      </c>
      <c r="C74" s="28">
        <f>$C$62</f>
        <v>19533.599999999999</v>
      </c>
      <c r="D74" s="29" t="s">
        <v>141</v>
      </c>
    </row>
    <row r="75" spans="2:4" ht="31.5" customHeight="1" x14ac:dyDescent="0.2">
      <c r="B75" s="30" t="s">
        <v>142</v>
      </c>
      <c r="C75" s="31">
        <f>$C$63</f>
        <v>27825</v>
      </c>
    </row>
    <row r="76" spans="2:4" ht="31.5" customHeight="1" x14ac:dyDescent="0.2">
      <c r="B76" s="32" t="s">
        <v>143</v>
      </c>
      <c r="C76" s="33">
        <f>$C$64</f>
        <v>8291.4000000000015</v>
      </c>
      <c r="D76" s="34" t="s">
        <v>144</v>
      </c>
    </row>
    <row r="77" spans="2:4" ht="31.5" customHeight="1" x14ac:dyDescent="0.2">
      <c r="B77" s="32" t="s">
        <v>145</v>
      </c>
      <c r="C77" s="35">
        <f>$C$66/12</f>
        <v>98.19</v>
      </c>
      <c r="D77" s="34" t="s">
        <v>146</v>
      </c>
    </row>
    <row r="78" spans="2:4" ht="31.5" customHeight="1" x14ac:dyDescent="0.2">
      <c r="B78" s="32" t="s">
        <v>147</v>
      </c>
      <c r="C78" s="36">
        <f>$C$67</f>
        <v>1.6973894150796076</v>
      </c>
      <c r="D78" s="34" t="s">
        <v>148</v>
      </c>
    </row>
    <row r="79" spans="2:4" ht="31.5" customHeight="1" x14ac:dyDescent="0.2">
      <c r="B79" s="27" t="s">
        <v>149</v>
      </c>
      <c r="C79" s="37">
        <f>$C$68</f>
        <v>0.30051692307692307</v>
      </c>
    </row>
    <row r="80" spans="2:4" ht="31.5" customHeight="1" x14ac:dyDescent="0.2">
      <c r="B80" s="30" t="s">
        <v>150</v>
      </c>
      <c r="C80" s="38">
        <f>$C$69</f>
        <v>0.42807692307692308</v>
      </c>
    </row>
    <row r="81" spans="2:4" ht="31.5" customHeight="1" x14ac:dyDescent="0.2">
      <c r="B81" s="39" t="s">
        <v>151</v>
      </c>
      <c r="C81" s="40" t="str">
        <f>IF($C$70&lt;0.05,"Match nul",IF($C$64&gt;0,"L'électrique est gagnant","Le thermique reste gagnant"))</f>
        <v>L'électrique est gagnant</v>
      </c>
      <c r="D81" s="41" t="s">
        <v>152</v>
      </c>
    </row>
  </sheetData>
  <mergeCells count="2">
    <mergeCell ref="B1:D1"/>
    <mergeCell ref="B2:D2"/>
  </mergeCells>
  <dataValidations count="1">
    <dataValidation type="list" sqref="C17" xr:uid="{00000000-0002-0000-0100-000000000000}">
      <formula1>"essence,diesel"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9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42" customWidth="1"/>
    <col min="3" max="3" width="46.6640625" customWidth="1"/>
    <col min="4" max="4" width="50" customWidth="1"/>
  </cols>
  <sheetData>
    <row r="1" spans="2:4" ht="18" x14ac:dyDescent="0.2">
      <c r="B1" s="2" t="s">
        <v>153</v>
      </c>
      <c r="C1" s="2"/>
      <c r="D1" s="2"/>
    </row>
    <row r="2" spans="2:4" x14ac:dyDescent="0.2">
      <c r="B2" s="1" t="s">
        <v>154</v>
      </c>
      <c r="C2" s="1"/>
      <c r="D2" s="1"/>
    </row>
    <row r="4" spans="2:4" ht="19.5" customHeight="1" x14ac:dyDescent="0.2">
      <c r="B4" s="4" t="s">
        <v>155</v>
      </c>
      <c r="C4" s="5"/>
      <c r="D4" s="5"/>
    </row>
    <row r="5" spans="2:4" ht="16" x14ac:dyDescent="0.2">
      <c r="B5" s="7" t="s">
        <v>156</v>
      </c>
      <c r="C5" s="8">
        <v>8000</v>
      </c>
      <c r="D5" s="10" t="s">
        <v>157</v>
      </c>
    </row>
    <row r="6" spans="2:4" ht="16" x14ac:dyDescent="0.2">
      <c r="B6" s="7" t="s">
        <v>77</v>
      </c>
      <c r="C6" s="17" t="s">
        <v>78</v>
      </c>
      <c r="D6" s="10" t="s">
        <v>79</v>
      </c>
    </row>
    <row r="7" spans="2:4" ht="16" x14ac:dyDescent="0.2">
      <c r="B7" s="7" t="s">
        <v>158</v>
      </c>
      <c r="C7" s="18">
        <v>7</v>
      </c>
    </row>
    <row r="8" spans="2:4" ht="16" x14ac:dyDescent="0.2">
      <c r="B8" s="7" t="s">
        <v>159</v>
      </c>
      <c r="C8" s="8">
        <v>700</v>
      </c>
    </row>
    <row r="9" spans="2:4" ht="16" x14ac:dyDescent="0.2">
      <c r="B9" s="7" t="s">
        <v>160</v>
      </c>
      <c r="C9" s="8">
        <v>550</v>
      </c>
    </row>
    <row r="10" spans="2:4" ht="16" x14ac:dyDescent="0.2">
      <c r="B10" s="7" t="s">
        <v>161</v>
      </c>
      <c r="C10" s="12">
        <v>0.12</v>
      </c>
      <c r="D10" s="10" t="s">
        <v>162</v>
      </c>
    </row>
    <row r="12" spans="2:4" ht="19.5" customHeight="1" x14ac:dyDescent="0.2">
      <c r="B12" s="4" t="s">
        <v>59</v>
      </c>
      <c r="C12" s="5"/>
      <c r="D12" s="5"/>
    </row>
    <row r="13" spans="2:4" ht="16" x14ac:dyDescent="0.2">
      <c r="B13" s="7" t="s">
        <v>60</v>
      </c>
      <c r="C13" s="14">
        <v>13000</v>
      </c>
    </row>
    <row r="14" spans="2:4" ht="16" x14ac:dyDescent="0.2">
      <c r="B14" s="7" t="s">
        <v>163</v>
      </c>
      <c r="C14" s="15">
        <v>5</v>
      </c>
    </row>
    <row r="16" spans="2:4" ht="19.5" customHeight="1" x14ac:dyDescent="0.2">
      <c r="B16" s="4" t="s">
        <v>164</v>
      </c>
      <c r="C16" s="5"/>
      <c r="D16" s="5"/>
    </row>
    <row r="17" spans="2:4" ht="16" x14ac:dyDescent="0.2">
      <c r="B17" s="7" t="s">
        <v>165</v>
      </c>
      <c r="C17" s="8">
        <v>32000</v>
      </c>
    </row>
    <row r="18" spans="2:4" ht="16" x14ac:dyDescent="0.2">
      <c r="B18" s="7" t="s">
        <v>166</v>
      </c>
      <c r="C18" s="16">
        <v>16</v>
      </c>
    </row>
    <row r="19" spans="2:4" ht="16" x14ac:dyDescent="0.2">
      <c r="B19" s="7" t="s">
        <v>69</v>
      </c>
      <c r="C19" s="8">
        <v>4700</v>
      </c>
      <c r="D19" s="10" t="s">
        <v>167</v>
      </c>
    </row>
    <row r="20" spans="2:4" ht="16" x14ac:dyDescent="0.2">
      <c r="B20" s="7" t="s">
        <v>71</v>
      </c>
      <c r="C20" s="8">
        <v>1500</v>
      </c>
      <c r="D20" s="10" t="s">
        <v>168</v>
      </c>
    </row>
    <row r="21" spans="2:4" ht="16" x14ac:dyDescent="0.2">
      <c r="B21" s="7" t="s">
        <v>73</v>
      </c>
      <c r="C21" s="8">
        <v>1200</v>
      </c>
    </row>
    <row r="22" spans="2:4" ht="16" x14ac:dyDescent="0.2">
      <c r="B22" s="7" t="s">
        <v>169</v>
      </c>
      <c r="C22" s="8">
        <v>250</v>
      </c>
    </row>
    <row r="23" spans="2:4" ht="16" x14ac:dyDescent="0.2">
      <c r="B23" s="7" t="s">
        <v>170</v>
      </c>
      <c r="C23" s="8">
        <v>650</v>
      </c>
    </row>
    <row r="24" spans="2:4" ht="16" x14ac:dyDescent="0.2">
      <c r="B24" s="7" t="s">
        <v>171</v>
      </c>
      <c r="C24" s="12">
        <v>0.45</v>
      </c>
    </row>
    <row r="26" spans="2:4" ht="19.5" customHeight="1" x14ac:dyDescent="0.2">
      <c r="B26" s="4" t="s">
        <v>172</v>
      </c>
      <c r="C26" s="5"/>
      <c r="D26" s="5"/>
    </row>
    <row r="27" spans="2:4" ht="16" x14ac:dyDescent="0.2">
      <c r="B27" s="7" t="s">
        <v>173</v>
      </c>
      <c r="C27" s="11">
        <v>0.2</v>
      </c>
      <c r="D27" s="10" t="s">
        <v>174</v>
      </c>
    </row>
    <row r="28" spans="2:4" ht="16" x14ac:dyDescent="0.2">
      <c r="B28" s="7" t="s">
        <v>87</v>
      </c>
      <c r="C28" s="11">
        <v>1.75</v>
      </c>
    </row>
    <row r="29" spans="2:4" ht="16" x14ac:dyDescent="0.2">
      <c r="B29" s="7" t="s">
        <v>25</v>
      </c>
      <c r="C29" s="11">
        <v>1.65</v>
      </c>
    </row>
    <row r="32" spans="2:4" ht="19.5" customHeight="1" x14ac:dyDescent="0.2">
      <c r="B32" s="4" t="s">
        <v>102</v>
      </c>
      <c r="C32" s="5"/>
      <c r="D32" s="5"/>
    </row>
    <row r="33" spans="2:4" ht="16" x14ac:dyDescent="0.2">
      <c r="B33" s="7" t="s">
        <v>112</v>
      </c>
      <c r="C33" s="22">
        <f>$C$19+$C$20</f>
        <v>6200</v>
      </c>
    </row>
    <row r="34" spans="2:4" ht="16" x14ac:dyDescent="0.2">
      <c r="B34" s="7" t="s">
        <v>175</v>
      </c>
      <c r="C34" s="22">
        <f>$C$17-$C$33+$C$21</f>
        <v>27000</v>
      </c>
      <c r="D34" s="10" t="s">
        <v>115</v>
      </c>
    </row>
    <row r="35" spans="2:4" ht="16" x14ac:dyDescent="0.2">
      <c r="B35" s="7" t="s">
        <v>176</v>
      </c>
      <c r="C35" s="24">
        <f>$C$34-$C$5</f>
        <v>19000</v>
      </c>
      <c r="D35" s="10" t="s">
        <v>177</v>
      </c>
    </row>
    <row r="36" spans="2:4" ht="16" x14ac:dyDescent="0.2">
      <c r="B36" s="7" t="s">
        <v>111</v>
      </c>
      <c r="C36" s="21">
        <f>IF($C$6="essence",$C$28,$C$29)</f>
        <v>1.75</v>
      </c>
    </row>
    <row r="37" spans="2:4" ht="16" x14ac:dyDescent="0.2">
      <c r="B37" s="7" t="s">
        <v>178</v>
      </c>
      <c r="C37" s="23">
        <f>$C$7/100*$C$13*$C$36</f>
        <v>1592.5000000000002</v>
      </c>
    </row>
    <row r="38" spans="2:4" ht="16" x14ac:dyDescent="0.2">
      <c r="B38" s="7" t="s">
        <v>179</v>
      </c>
      <c r="C38" s="42">
        <f>$C$37+$C$8+$C$9</f>
        <v>2842.5</v>
      </c>
      <c r="D38" s="10" t="s">
        <v>180</v>
      </c>
    </row>
    <row r="39" spans="2:4" ht="16" x14ac:dyDescent="0.2">
      <c r="B39" s="7" t="s">
        <v>181</v>
      </c>
      <c r="C39" s="23">
        <f>$C$18/100*$C$13*$C$27</f>
        <v>416</v>
      </c>
    </row>
    <row r="40" spans="2:4" ht="16" x14ac:dyDescent="0.2">
      <c r="B40" s="7" t="s">
        <v>120</v>
      </c>
      <c r="C40" s="42">
        <f>$C$39+$C$22+$C$23</f>
        <v>1316</v>
      </c>
    </row>
    <row r="41" spans="2:4" ht="16" x14ac:dyDescent="0.2">
      <c r="B41" s="7" t="s">
        <v>182</v>
      </c>
      <c r="C41" s="42">
        <f>$C$38-$C$40</f>
        <v>1526.5</v>
      </c>
      <c r="D41" s="10" t="s">
        <v>183</v>
      </c>
    </row>
    <row r="42" spans="2:4" ht="16" x14ac:dyDescent="0.2">
      <c r="B42" s="7" t="s">
        <v>184</v>
      </c>
      <c r="C42" s="25">
        <f>IF(AND($C$41&gt;0,$C$35&gt;0),$C$35/$C$41,IF($C$35&lt;=0,0,"Jamais"))</f>
        <v>12.446773665247298</v>
      </c>
      <c r="D42" s="10" t="s">
        <v>185</v>
      </c>
    </row>
    <row r="43" spans="2:4" ht="16" x14ac:dyDescent="0.2">
      <c r="B43" s="7" t="s">
        <v>186</v>
      </c>
      <c r="C43" s="22">
        <f>$C$5*(1-$C$10)^$C$14</f>
        <v>4221.8553344000002</v>
      </c>
      <c r="D43" s="10" t="s">
        <v>187</v>
      </c>
    </row>
    <row r="44" spans="2:4" ht="16" x14ac:dyDescent="0.2">
      <c r="B44" s="7" t="s">
        <v>188</v>
      </c>
      <c r="C44" s="22">
        <f>$C$5-$C$43</f>
        <v>3778.1446655999998</v>
      </c>
    </row>
    <row r="45" spans="2:4" ht="16" x14ac:dyDescent="0.2">
      <c r="B45" s="7" t="s">
        <v>189</v>
      </c>
      <c r="C45" s="22">
        <f>$C$17*$C$24</f>
        <v>14400</v>
      </c>
    </row>
    <row r="46" spans="2:4" ht="16" x14ac:dyDescent="0.2">
      <c r="B46" s="7" t="s">
        <v>190</v>
      </c>
      <c r="C46" s="24">
        <f>$C$44+$C$38*$C$14</f>
        <v>17990.644665600001</v>
      </c>
      <c r="D46" s="10" t="s">
        <v>191</v>
      </c>
    </row>
    <row r="47" spans="2:4" ht="16" x14ac:dyDescent="0.2">
      <c r="B47" s="7" t="s">
        <v>192</v>
      </c>
      <c r="C47" s="24">
        <f>$C$34-$C$45+$C$40*$C$14</f>
        <v>19180</v>
      </c>
      <c r="D47" s="10" t="s">
        <v>193</v>
      </c>
    </row>
    <row r="48" spans="2:4" ht="16" x14ac:dyDescent="0.2">
      <c r="B48" s="7" t="s">
        <v>194</v>
      </c>
      <c r="C48" s="24">
        <f>$C$46-$C$47</f>
        <v>-1189.3553343999993</v>
      </c>
      <c r="D48" s="10" t="s">
        <v>195</v>
      </c>
    </row>
    <row r="49" spans="2:4" ht="16" x14ac:dyDescent="0.2">
      <c r="B49" s="7" t="s">
        <v>196</v>
      </c>
      <c r="C49" s="20">
        <f>ABS($C$48)/MAX($C$46,$C$47)</f>
        <v>6.201018427528672E-2</v>
      </c>
    </row>
    <row r="52" spans="2:4" ht="19.5" customHeight="1" x14ac:dyDescent="0.2">
      <c r="B52" s="4" t="s">
        <v>139</v>
      </c>
      <c r="C52" s="5"/>
      <c r="D52" s="5"/>
    </row>
    <row r="53" spans="2:4" ht="31.5" customHeight="1" x14ac:dyDescent="0.2">
      <c r="B53" s="32" t="s">
        <v>197</v>
      </c>
      <c r="C53" s="33">
        <f>$C$35</f>
        <v>19000</v>
      </c>
      <c r="D53" s="34" t="s">
        <v>198</v>
      </c>
    </row>
    <row r="54" spans="2:4" ht="31.5" customHeight="1" x14ac:dyDescent="0.2">
      <c r="B54" s="32" t="s">
        <v>199</v>
      </c>
      <c r="C54" s="35">
        <f>$C$41/12</f>
        <v>127.20833333333333</v>
      </c>
      <c r="D54" s="34" t="s">
        <v>200</v>
      </c>
    </row>
    <row r="55" spans="2:4" ht="31.5" customHeight="1" x14ac:dyDescent="0.2">
      <c r="B55" s="32" t="s">
        <v>201</v>
      </c>
      <c r="C55" s="36">
        <f>$C$42</f>
        <v>12.446773665247298</v>
      </c>
      <c r="D55" s="34" t="s">
        <v>202</v>
      </c>
    </row>
    <row r="56" spans="2:4" ht="31.5" customHeight="1" x14ac:dyDescent="0.2">
      <c r="B56" s="30" t="s">
        <v>203</v>
      </c>
      <c r="C56" s="31">
        <f>$C$46</f>
        <v>17990.644665600001</v>
      </c>
      <c r="D56" s="43" t="s">
        <v>204</v>
      </c>
    </row>
    <row r="57" spans="2:4" ht="31.5" customHeight="1" x14ac:dyDescent="0.2">
      <c r="B57" s="27" t="s">
        <v>205</v>
      </c>
      <c r="C57" s="28">
        <f>$C$47</f>
        <v>19180</v>
      </c>
      <c r="D57" s="29" t="s">
        <v>206</v>
      </c>
    </row>
    <row r="58" spans="2:4" ht="31.5" customHeight="1" x14ac:dyDescent="0.2">
      <c r="B58" s="32" t="s">
        <v>143</v>
      </c>
      <c r="C58" s="33">
        <f>$C$48</f>
        <v>-1189.3553343999993</v>
      </c>
    </row>
    <row r="59" spans="2:4" ht="31.5" customHeight="1" x14ac:dyDescent="0.2">
      <c r="B59" s="39" t="s">
        <v>151</v>
      </c>
      <c r="C59" s="40" t="str">
        <f>IF($C$49&lt;0.05,"Match nul",IF($C$48&gt;0,"Passer au VE est avantageux","Garder l'actuelle reste plus économique"))</f>
        <v>Garder l'actuelle reste plus économique</v>
      </c>
      <c r="D59" s="41" t="s">
        <v>207</v>
      </c>
    </row>
  </sheetData>
  <mergeCells count="2">
    <mergeCell ref="B1:D1"/>
    <mergeCell ref="B2:D2"/>
  </mergeCells>
  <dataValidations count="1">
    <dataValidation type="list" sqref="C6" xr:uid="{00000000-0002-0000-0200-000000000000}">
      <formula1>"essence,diesel"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63"/>
  <sheetViews>
    <sheetView showGridLines="0" tabSelected="1" zoomScaleNormal="100" workbookViewId="0"/>
  </sheetViews>
  <sheetFormatPr baseColWidth="10" defaultColWidth="8.6640625" defaultRowHeight="15" x14ac:dyDescent="0.2"/>
  <cols>
    <col min="1" max="1" width="4" customWidth="1"/>
    <col min="2" max="2" width="42" customWidth="1"/>
    <col min="3" max="3" width="40.83203125" customWidth="1"/>
    <col min="4" max="4" width="50" customWidth="1"/>
  </cols>
  <sheetData>
    <row r="1" spans="2:4" ht="18" x14ac:dyDescent="0.2">
      <c r="B1" s="2" t="s">
        <v>208</v>
      </c>
      <c r="C1" s="2"/>
      <c r="D1" s="2"/>
    </row>
    <row r="2" spans="2:4" x14ac:dyDescent="0.2">
      <c r="B2" s="1" t="s">
        <v>209</v>
      </c>
      <c r="C2" s="1"/>
      <c r="D2" s="1"/>
    </row>
    <row r="4" spans="2:4" ht="19.5" customHeight="1" x14ac:dyDescent="0.2">
      <c r="B4" s="4" t="s">
        <v>155</v>
      </c>
      <c r="C4" s="5"/>
      <c r="D4" s="5"/>
    </row>
    <row r="5" spans="2:4" ht="16" x14ac:dyDescent="0.2">
      <c r="B5" s="7" t="s">
        <v>156</v>
      </c>
      <c r="C5" s="8">
        <v>8000</v>
      </c>
    </row>
    <row r="6" spans="2:4" ht="16" x14ac:dyDescent="0.2">
      <c r="B6" s="7" t="s">
        <v>77</v>
      </c>
      <c r="C6" s="17" t="s">
        <v>78</v>
      </c>
      <c r="D6" s="10" t="s">
        <v>79</v>
      </c>
    </row>
    <row r="7" spans="2:4" ht="16" x14ac:dyDescent="0.2">
      <c r="B7" s="7" t="s">
        <v>158</v>
      </c>
      <c r="C7" s="18">
        <v>7</v>
      </c>
    </row>
    <row r="8" spans="2:4" ht="16" x14ac:dyDescent="0.2">
      <c r="B8" s="7" t="s">
        <v>159</v>
      </c>
      <c r="C8" s="8">
        <v>700</v>
      </c>
    </row>
    <row r="9" spans="2:4" ht="16" x14ac:dyDescent="0.2">
      <c r="B9" s="7" t="s">
        <v>160</v>
      </c>
      <c r="C9" s="8">
        <v>550</v>
      </c>
    </row>
    <row r="11" spans="2:4" ht="19.5" customHeight="1" x14ac:dyDescent="0.2">
      <c r="B11" s="4" t="s">
        <v>59</v>
      </c>
      <c r="C11" s="5"/>
      <c r="D11" s="5"/>
    </row>
    <row r="12" spans="2:4" ht="16" x14ac:dyDescent="0.2">
      <c r="B12" s="7" t="s">
        <v>60</v>
      </c>
      <c r="C12" s="14">
        <v>13000</v>
      </c>
    </row>
    <row r="13" spans="2:4" ht="16" x14ac:dyDescent="0.2">
      <c r="B13" s="7" t="s">
        <v>163</v>
      </c>
      <c r="C13" s="15">
        <v>5</v>
      </c>
    </row>
    <row r="15" spans="2:4" ht="19.5" customHeight="1" x14ac:dyDescent="0.2">
      <c r="B15" s="4" t="s">
        <v>210</v>
      </c>
      <c r="C15" s="5"/>
      <c r="D15" s="5"/>
    </row>
    <row r="16" spans="2:4" ht="16" x14ac:dyDescent="0.2">
      <c r="B16" s="7" t="s">
        <v>211</v>
      </c>
      <c r="C16" s="8">
        <v>18000</v>
      </c>
    </row>
    <row r="17" spans="2:4" ht="16" x14ac:dyDescent="0.2">
      <c r="B17" s="7" t="s">
        <v>212</v>
      </c>
      <c r="C17" s="15">
        <v>4</v>
      </c>
      <c r="D17" s="10" t="s">
        <v>213</v>
      </c>
    </row>
    <row r="18" spans="2:4" ht="16" x14ac:dyDescent="0.2">
      <c r="B18" s="7" t="s">
        <v>214</v>
      </c>
      <c r="C18" s="14">
        <v>60000</v>
      </c>
      <c r="D18" s="10" t="s">
        <v>215</v>
      </c>
    </row>
    <row r="19" spans="2:4" ht="16" x14ac:dyDescent="0.2">
      <c r="B19" s="7" t="s">
        <v>216</v>
      </c>
      <c r="C19" s="12">
        <v>0.9</v>
      </c>
      <c r="D19" s="10" t="s">
        <v>217</v>
      </c>
    </row>
    <row r="20" spans="2:4" ht="16" x14ac:dyDescent="0.2">
      <c r="B20" s="7" t="s">
        <v>218</v>
      </c>
      <c r="C20" s="16">
        <v>17</v>
      </c>
    </row>
    <row r="21" spans="2:4" ht="16" x14ac:dyDescent="0.2">
      <c r="B21" s="7" t="s">
        <v>73</v>
      </c>
      <c r="C21" s="8">
        <v>1200</v>
      </c>
    </row>
    <row r="22" spans="2:4" ht="16" x14ac:dyDescent="0.2">
      <c r="B22" s="7" t="s">
        <v>219</v>
      </c>
      <c r="C22" s="8">
        <v>1500</v>
      </c>
      <c r="D22" s="10" t="s">
        <v>220</v>
      </c>
    </row>
    <row r="23" spans="2:4" ht="16" x14ac:dyDescent="0.2">
      <c r="B23" s="7" t="s">
        <v>169</v>
      </c>
      <c r="C23" s="8">
        <v>300</v>
      </c>
    </row>
    <row r="24" spans="2:4" ht="16" x14ac:dyDescent="0.2">
      <c r="B24" s="7" t="s">
        <v>170</v>
      </c>
      <c r="C24" s="8">
        <v>600</v>
      </c>
    </row>
    <row r="25" spans="2:4" ht="16" x14ac:dyDescent="0.2">
      <c r="B25" s="7" t="s">
        <v>171</v>
      </c>
      <c r="C25" s="12">
        <v>0.55000000000000004</v>
      </c>
    </row>
    <row r="27" spans="2:4" ht="19.5" customHeight="1" x14ac:dyDescent="0.2">
      <c r="B27" s="4" t="s">
        <v>172</v>
      </c>
      <c r="C27" s="5"/>
      <c r="D27" s="5"/>
    </row>
    <row r="28" spans="2:4" ht="16" x14ac:dyDescent="0.2">
      <c r="B28" s="7" t="s">
        <v>173</v>
      </c>
      <c r="C28" s="11">
        <v>0.2</v>
      </c>
    </row>
    <row r="29" spans="2:4" ht="16" x14ac:dyDescent="0.2">
      <c r="B29" s="7" t="s">
        <v>87</v>
      </c>
      <c r="C29" s="11">
        <v>1.75</v>
      </c>
    </row>
    <row r="30" spans="2:4" ht="16" x14ac:dyDescent="0.2">
      <c r="B30" s="7" t="s">
        <v>25</v>
      </c>
      <c r="C30" s="11">
        <v>1.65</v>
      </c>
    </row>
    <row r="33" spans="2:4" ht="19.5" customHeight="1" x14ac:dyDescent="0.2">
      <c r="B33" s="4" t="s">
        <v>102</v>
      </c>
      <c r="C33" s="5"/>
      <c r="D33" s="5"/>
    </row>
    <row r="34" spans="2:4" ht="16" x14ac:dyDescent="0.2">
      <c r="B34" s="7" t="s">
        <v>221</v>
      </c>
      <c r="C34" s="22">
        <f>$C$16+$C$21+$C$22</f>
        <v>20700</v>
      </c>
    </row>
    <row r="35" spans="2:4" ht="16" x14ac:dyDescent="0.2">
      <c r="B35" s="7" t="s">
        <v>222</v>
      </c>
      <c r="C35" s="24">
        <f>$C$34-$C$5</f>
        <v>12700</v>
      </c>
      <c r="D35" s="10" t="s">
        <v>223</v>
      </c>
    </row>
    <row r="36" spans="2:4" ht="16" x14ac:dyDescent="0.2">
      <c r="B36" s="7" t="s">
        <v>224</v>
      </c>
      <c r="C36" s="21">
        <f>1+(1-$C$19)*Hypothèses!$B$46</f>
        <v>1.03</v>
      </c>
      <c r="D36" s="10" t="s">
        <v>225</v>
      </c>
    </row>
    <row r="37" spans="2:4" ht="16" x14ac:dyDescent="0.2">
      <c r="B37" s="7" t="s">
        <v>226</v>
      </c>
      <c r="C37" s="44">
        <f>$C$20*$C$36</f>
        <v>17.510000000000002</v>
      </c>
      <c r="D37" s="10" t="s">
        <v>227</v>
      </c>
    </row>
    <row r="38" spans="2:4" ht="16" x14ac:dyDescent="0.2">
      <c r="B38" s="7" t="s">
        <v>111</v>
      </c>
      <c r="C38" s="21">
        <f>IF($C$6="essence",$C$29,$C$30)</f>
        <v>1.75</v>
      </c>
    </row>
    <row r="39" spans="2:4" ht="16" x14ac:dyDescent="0.2">
      <c r="B39" s="7" t="s">
        <v>178</v>
      </c>
      <c r="C39" s="23">
        <f>$C$7/100*$C$12*$C$38</f>
        <v>1592.5000000000002</v>
      </c>
    </row>
    <row r="40" spans="2:4" ht="16" x14ac:dyDescent="0.2">
      <c r="B40" s="7" t="s">
        <v>179</v>
      </c>
      <c r="C40" s="42">
        <f>$C$39+$C$8+$C$9</f>
        <v>2842.5</v>
      </c>
    </row>
    <row r="41" spans="2:4" ht="16" x14ac:dyDescent="0.2">
      <c r="B41" s="7" t="s">
        <v>181</v>
      </c>
      <c r="C41" s="23">
        <f>$C$37/100*$C$12*$C$28</f>
        <v>455.26000000000005</v>
      </c>
    </row>
    <row r="42" spans="2:4" ht="16" x14ac:dyDescent="0.2">
      <c r="B42" s="7" t="s">
        <v>120</v>
      </c>
      <c r="C42" s="42">
        <f>$C$41+$C$23+$C$24</f>
        <v>1355.26</v>
      </c>
    </row>
    <row r="43" spans="2:4" ht="16" x14ac:dyDescent="0.2">
      <c r="B43" s="7" t="s">
        <v>182</v>
      </c>
      <c r="C43" s="42">
        <f>$C$40-$C$42</f>
        <v>1487.24</v>
      </c>
    </row>
    <row r="44" spans="2:4" ht="16" x14ac:dyDescent="0.2">
      <c r="B44" s="7" t="s">
        <v>201</v>
      </c>
      <c r="C44" s="25">
        <f>IF(AND($C$43&gt;0,$C$35&gt;0),$C$35/$C$43,IF($C$35&lt;=0,0,"Jamais"))</f>
        <v>8.5393077109276234</v>
      </c>
    </row>
    <row r="45" spans="2:4" ht="16" x14ac:dyDescent="0.2">
      <c r="B45" s="7" t="s">
        <v>228</v>
      </c>
      <c r="C45" s="22">
        <f>$C$5*Hypothèses!$B$28^$C$13</f>
        <v>4221.8553344000002</v>
      </c>
      <c r="D45" s="10" t="s">
        <v>229</v>
      </c>
    </row>
    <row r="46" spans="2:4" ht="16" x14ac:dyDescent="0.2">
      <c r="B46" s="7" t="s">
        <v>188</v>
      </c>
      <c r="C46" s="22">
        <f>$C$5-$C$45</f>
        <v>3778.1446655999998</v>
      </c>
    </row>
    <row r="47" spans="2:4" ht="16" x14ac:dyDescent="0.2">
      <c r="B47" s="7" t="s">
        <v>230</v>
      </c>
      <c r="C47" s="22">
        <f>$C$16*$C$25</f>
        <v>9900</v>
      </c>
    </row>
    <row r="48" spans="2:4" ht="16" x14ac:dyDescent="0.2">
      <c r="B48" s="7" t="s">
        <v>190</v>
      </c>
      <c r="C48" s="24">
        <f>$C$46+$C$40*$C$13</f>
        <v>17990.644665600001</v>
      </c>
    </row>
    <row r="49" spans="2:4" ht="26" x14ac:dyDescent="0.2">
      <c r="B49" s="7" t="s">
        <v>231</v>
      </c>
      <c r="C49" s="24">
        <f>($C$34-$C$47)+$C$42*$C$13-$C$5+$C$46</f>
        <v>13354.4446656</v>
      </c>
      <c r="D49" s="10" t="s">
        <v>232</v>
      </c>
    </row>
    <row r="50" spans="2:4" ht="16" x14ac:dyDescent="0.2">
      <c r="B50" s="7" t="s">
        <v>233</v>
      </c>
      <c r="C50" s="24">
        <f>$C$48-$C$49</f>
        <v>4636.2000000000007</v>
      </c>
    </row>
    <row r="51" spans="2:4" ht="16" x14ac:dyDescent="0.2">
      <c r="B51" s="7" t="s">
        <v>196</v>
      </c>
      <c r="C51" s="20">
        <f>ABS($C$50)/MAX($C$48,$C$49)</f>
        <v>0.25770060418484619</v>
      </c>
    </row>
    <row r="52" spans="2:4" ht="16" x14ac:dyDescent="0.2">
      <c r="B52" s="7" t="s">
        <v>234</v>
      </c>
      <c r="C52" s="45" t="str">
        <f>IF($C$19&gt;=0.9,"faible",IF($C$19&gt;=0.8,"modéré","élevé"))</f>
        <v>faible</v>
      </c>
      <c r="D52" s="10" t="s">
        <v>235</v>
      </c>
    </row>
    <row r="55" spans="2:4" ht="19.5" customHeight="1" x14ac:dyDescent="0.2">
      <c r="B55" s="4" t="s">
        <v>139</v>
      </c>
      <c r="C55" s="5"/>
      <c r="D55" s="5"/>
    </row>
    <row r="56" spans="2:4" ht="31.5" customHeight="1" x14ac:dyDescent="0.2">
      <c r="B56" s="32" t="s">
        <v>236</v>
      </c>
      <c r="C56" s="33">
        <f>$C$35</f>
        <v>12700</v>
      </c>
      <c r="D56" s="34" t="s">
        <v>237</v>
      </c>
    </row>
    <row r="57" spans="2:4" ht="31.5" customHeight="1" x14ac:dyDescent="0.2">
      <c r="B57" s="32" t="s">
        <v>199</v>
      </c>
      <c r="C57" s="35">
        <f>$C$43/12</f>
        <v>123.93666666666667</v>
      </c>
    </row>
    <row r="58" spans="2:4" ht="31.5" customHeight="1" x14ac:dyDescent="0.2">
      <c r="B58" s="32" t="s">
        <v>201</v>
      </c>
      <c r="C58" s="36">
        <f>$C$44</f>
        <v>8.5393077109276234</v>
      </c>
    </row>
    <row r="59" spans="2:4" ht="31.5" customHeight="1" x14ac:dyDescent="0.2">
      <c r="B59" s="30" t="s">
        <v>203</v>
      </c>
      <c r="C59" s="31">
        <f>$C$48</f>
        <v>17990.644665600001</v>
      </c>
    </row>
    <row r="60" spans="2:4" ht="31.5" customHeight="1" x14ac:dyDescent="0.2">
      <c r="B60" s="27" t="s">
        <v>238</v>
      </c>
      <c r="C60" s="28">
        <f>$C$49</f>
        <v>13354.4446656</v>
      </c>
    </row>
    <row r="61" spans="2:4" ht="31.5" customHeight="1" x14ac:dyDescent="0.2">
      <c r="B61" s="32" t="s">
        <v>143</v>
      </c>
      <c r="C61" s="33">
        <f>$C$50</f>
        <v>4636.2000000000007</v>
      </c>
    </row>
    <row r="62" spans="2:4" ht="31.5" customHeight="1" x14ac:dyDescent="0.2">
      <c r="B62" s="39" t="s">
        <v>239</v>
      </c>
      <c r="C62" s="40" t="str">
        <f>$C$52</f>
        <v>faible</v>
      </c>
      <c r="D62" s="41" t="s">
        <v>240</v>
      </c>
    </row>
    <row r="63" spans="2:4" ht="31.5" customHeight="1" x14ac:dyDescent="0.2">
      <c r="B63" s="39" t="s">
        <v>151</v>
      </c>
      <c r="C63" s="40" t="str">
        <f>IF($C$51&lt;0.05,"Match nul",IF($C$50&gt;0,"VE occasion intéressant","Garder l'actuelle reste plus économique"))</f>
        <v>VE occasion intéressant</v>
      </c>
      <c r="D63" s="41" t="s">
        <v>241</v>
      </c>
    </row>
  </sheetData>
  <mergeCells count="2">
    <mergeCell ref="B1:D1"/>
    <mergeCell ref="B2:D2"/>
  </mergeCells>
  <dataValidations count="1">
    <dataValidation type="list" sqref="C6" xr:uid="{00000000-0002-0000-0300-000000000000}">
      <formula1>"essence,diesel"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4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32" customWidth="1"/>
    <col min="3" max="5" width="22" customWidth="1"/>
  </cols>
  <sheetData>
    <row r="1" spans="2:5" ht="18" x14ac:dyDescent="0.2">
      <c r="B1" s="2" t="s">
        <v>242</v>
      </c>
      <c r="C1" s="2"/>
      <c r="D1" s="2"/>
      <c r="E1" s="2"/>
    </row>
    <row r="2" spans="2:5" x14ac:dyDescent="0.2">
      <c r="B2" s="1" t="s">
        <v>243</v>
      </c>
      <c r="C2" s="1"/>
      <c r="D2" s="1"/>
      <c r="E2" s="1"/>
    </row>
    <row r="4" spans="2:5" ht="25.5" customHeight="1" x14ac:dyDescent="0.2">
      <c r="B4" s="6" t="s">
        <v>244</v>
      </c>
      <c r="C4" s="6" t="s">
        <v>245</v>
      </c>
      <c r="D4" s="6" t="s">
        <v>246</v>
      </c>
      <c r="E4" s="6" t="s">
        <v>247</v>
      </c>
    </row>
    <row r="5" spans="2:5" x14ac:dyDescent="0.2">
      <c r="B5" s="46" t="s">
        <v>248</v>
      </c>
      <c r="C5" s="47">
        <f>'Mode 1 — VE neuf vs th.'!$C$62</f>
        <v>19533.599999999999</v>
      </c>
      <c r="D5" s="47">
        <f>'Mode 2 — Revente pour VE'!$C$47</f>
        <v>19180</v>
      </c>
      <c r="E5" s="47">
        <f>'Mode 3 — VE occasion'!$C$49</f>
        <v>13354.4446656</v>
      </c>
    </row>
    <row r="6" spans="2:5" x14ac:dyDescent="0.2">
      <c r="B6" s="46" t="s">
        <v>249</v>
      </c>
      <c r="C6" s="47">
        <f>'Mode 1 — VE neuf vs th.'!$C$63</f>
        <v>27825</v>
      </c>
      <c r="D6" s="47">
        <f>'Mode 2 — Revente pour VE'!$C$46</f>
        <v>17990.644665600001</v>
      </c>
      <c r="E6" s="47">
        <f>'Mode 3 — VE occasion'!$C$48</f>
        <v>17990.644665600001</v>
      </c>
    </row>
    <row r="7" spans="2:5" ht="28" x14ac:dyDescent="0.2">
      <c r="B7" s="46" t="s">
        <v>250</v>
      </c>
      <c r="C7" s="47">
        <f>'Mode 1 — VE neuf vs th.'!$C$64</f>
        <v>8291.4000000000015</v>
      </c>
      <c r="D7" s="47">
        <f>'Mode 2 — Revente pour VE'!$C$48</f>
        <v>-1189.3553343999993</v>
      </c>
      <c r="E7" s="47">
        <f>'Mode 3 — VE occasion'!$C$50</f>
        <v>4636.2000000000007</v>
      </c>
    </row>
    <row r="8" spans="2:5" x14ac:dyDescent="0.2">
      <c r="B8" s="46" t="s">
        <v>251</v>
      </c>
      <c r="C8" s="48">
        <f>'Mode 1 — VE neuf vs th.'!$C$66</f>
        <v>1178.28</v>
      </c>
      <c r="D8" s="49" t="s">
        <v>252</v>
      </c>
      <c r="E8" s="49" t="s">
        <v>252</v>
      </c>
    </row>
    <row r="9" spans="2:5" x14ac:dyDescent="0.2">
      <c r="B9" s="46" t="s">
        <v>253</v>
      </c>
      <c r="C9" s="49" t="s">
        <v>252</v>
      </c>
      <c r="D9" s="47">
        <f>'Mode 2 — Revente pour VE'!$C$35</f>
        <v>19000</v>
      </c>
      <c r="E9" s="47">
        <f>'Mode 3 — VE occasion'!$C$35</f>
        <v>12700</v>
      </c>
    </row>
    <row r="10" spans="2:5" x14ac:dyDescent="0.2">
      <c r="B10" s="46" t="s">
        <v>254</v>
      </c>
      <c r="C10" s="50">
        <f>'Mode 1 — VE neuf vs th.'!$C$67</f>
        <v>1.6973894150796076</v>
      </c>
      <c r="D10" s="50">
        <f>'Mode 2 — Revente pour VE'!$C$42</f>
        <v>12.446773665247298</v>
      </c>
      <c r="E10" s="50">
        <f>'Mode 3 — VE occasion'!$C$44</f>
        <v>8.5393077109276234</v>
      </c>
    </row>
    <row r="11" spans="2:5" x14ac:dyDescent="0.2">
      <c r="B11" s="46" t="s">
        <v>239</v>
      </c>
      <c r="C11" s="49" t="s">
        <v>252</v>
      </c>
      <c r="D11" s="49" t="s">
        <v>252</v>
      </c>
      <c r="E11" s="51" t="str">
        <f>'Mode 3 — VE occasion'!$C$52</f>
        <v>faible</v>
      </c>
    </row>
    <row r="13" spans="2:5" x14ac:dyDescent="0.2">
      <c r="B13" s="52" t="s">
        <v>255</v>
      </c>
      <c r="C13" s="1" t="s">
        <v>256</v>
      </c>
      <c r="D13" s="1"/>
      <c r="E13" s="1"/>
    </row>
    <row r="14" spans="2:5" x14ac:dyDescent="0.2">
      <c r="C14" s="1" t="s">
        <v>257</v>
      </c>
      <c r="D14" s="1"/>
      <c r="E14" s="1"/>
    </row>
  </sheetData>
  <mergeCells count="4">
    <mergeCell ref="B1:E1"/>
    <mergeCell ref="B2:E2"/>
    <mergeCell ref="C13:E13"/>
    <mergeCell ref="C14:E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Hypothèses</vt:lpstr>
      <vt:lpstr>Mode 1 — VE neuf vs th.</vt:lpstr>
      <vt:lpstr>Mode 2 — Revente pour VE</vt:lpstr>
      <vt:lpstr>Mode 3 — VE occasion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Bertrand Matge</cp:lastModifiedBy>
  <cp:revision>0</cp:revision>
  <dcterms:created xsi:type="dcterms:W3CDTF">2026-05-20T13:03:00Z</dcterms:created>
  <dcterms:modified xsi:type="dcterms:W3CDTF">2026-05-20T13:10:20Z</dcterms:modified>
  <dc:language>en-US</dc:language>
</cp:coreProperties>
</file>