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bertrand/Developer/GitHub/simulateurs-portail-elec/docs/specs-metier/passer-a-electrique/"/>
    </mc:Choice>
  </mc:AlternateContent>
  <xr:revisionPtr revIDLastSave="0" documentId="8_{E96ED6F4-D421-7949-90EE-2C327CC8F0F6}" xr6:coauthVersionLast="47" xr6:coauthVersionMax="47" xr10:uidLastSave="{00000000-0000-0000-0000-000000000000}"/>
  <bookViews>
    <workbookView xWindow="0" yWindow="660" windowWidth="29400" windowHeight="16760" tabRatio="500" xr2:uid="{00000000-000D-0000-FFFF-FFFF00000000}"/>
  </bookViews>
  <sheets>
    <sheet name="Saisies" sheetId="1" r:id="rId1"/>
    <sheet name="Hypothèses" sheetId="2" r:id="rId2"/>
    <sheet name="Calculs" sheetId="3" r:id="rId3"/>
    <sheet name="Résultats" sheetId="4" r:id="rId4"/>
    <sheet name="Étalement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3" l="1"/>
  <c r="B5" i="3"/>
  <c r="C41" i="5"/>
  <c r="C40" i="5"/>
  <c r="C39" i="5"/>
  <c r="E38" i="5"/>
  <c r="C38" i="5"/>
  <c r="C37" i="5"/>
  <c r="E36" i="5"/>
  <c r="C36" i="5"/>
  <c r="D35" i="5"/>
  <c r="C34" i="5"/>
  <c r="C33" i="5"/>
  <c r="E32" i="5"/>
  <c r="C32" i="5"/>
  <c r="E31" i="5"/>
  <c r="D31" i="5"/>
  <c r="C31" i="5"/>
  <c r="C30" i="5"/>
  <c r="C29" i="5"/>
  <c r="E28" i="5"/>
  <c r="C28" i="5"/>
  <c r="C27" i="5"/>
  <c r="E26" i="5"/>
  <c r="C26" i="5"/>
  <c r="D25" i="5"/>
  <c r="C24" i="5"/>
  <c r="C23" i="5"/>
  <c r="E22" i="5"/>
  <c r="C22" i="5"/>
  <c r="E21" i="5"/>
  <c r="D21" i="5"/>
  <c r="C21" i="5"/>
  <c r="C20" i="5"/>
  <c r="C19" i="5"/>
  <c r="B19" i="5"/>
  <c r="E18" i="5"/>
  <c r="C18" i="5"/>
  <c r="G12" i="5"/>
  <c r="E33" i="5" s="1"/>
  <c r="F12" i="5"/>
  <c r="D12" i="5"/>
  <c r="C12" i="5"/>
  <c r="E12" i="5" s="1"/>
  <c r="B12" i="5"/>
  <c r="G11" i="5"/>
  <c r="D32" i="5" s="1"/>
  <c r="B11" i="5"/>
  <c r="G10" i="5"/>
  <c r="C35" i="5" s="1"/>
  <c r="F10" i="5"/>
  <c r="D10" i="5"/>
  <c r="C10" i="5"/>
  <c r="B10" i="5"/>
  <c r="G9" i="5"/>
  <c r="C9" i="5"/>
  <c r="B9" i="5"/>
  <c r="I5" i="5"/>
  <c r="G5" i="5"/>
  <c r="E5" i="5"/>
  <c r="C5" i="5"/>
  <c r="I4" i="5"/>
  <c r="G4" i="5"/>
  <c r="E4" i="5"/>
  <c r="C4" i="5"/>
  <c r="B75" i="3"/>
  <c r="B67" i="3"/>
  <c r="B66" i="3"/>
  <c r="B61" i="3"/>
  <c r="C35" i="4" s="1"/>
  <c r="B58" i="3"/>
  <c r="B54" i="3"/>
  <c r="B52" i="3"/>
  <c r="C33" i="4" s="1"/>
  <c r="B48" i="3"/>
  <c r="B47" i="3"/>
  <c r="B43" i="3"/>
  <c r="C28" i="4" s="1"/>
  <c r="B42" i="3"/>
  <c r="C27" i="4" s="1"/>
  <c r="B40" i="3"/>
  <c r="B62" i="3" s="1"/>
  <c r="C36" i="4" s="1"/>
  <c r="B33" i="3"/>
  <c r="B34" i="3" s="1"/>
  <c r="B31" i="3"/>
  <c r="C22" i="4" s="1"/>
  <c r="B30" i="3"/>
  <c r="C21" i="4" s="1"/>
  <c r="B28" i="3"/>
  <c r="C19" i="4" s="1"/>
  <c r="B21" i="3"/>
  <c r="B22" i="3" s="1"/>
  <c r="B35" i="3" s="1"/>
  <c r="C23" i="4" s="1"/>
  <c r="B20" i="3"/>
  <c r="B17" i="3"/>
  <c r="B18" i="3" s="1"/>
  <c r="B16" i="3"/>
  <c r="B12" i="3"/>
  <c r="C45" i="4" s="1"/>
  <c r="B11" i="3"/>
  <c r="B8" i="3"/>
  <c r="B41" i="2"/>
  <c r="C11" i="5" s="1"/>
  <c r="E10" i="5" l="1"/>
  <c r="C17" i="5" s="1"/>
  <c r="B59" i="3"/>
  <c r="B19" i="3"/>
  <c r="B7" i="3"/>
  <c r="B69" i="3"/>
  <c r="B68" i="3"/>
  <c r="C38" i="4" s="1"/>
  <c r="C13" i="5"/>
  <c r="B40" i="5"/>
  <c r="B30" i="5"/>
  <c r="B20" i="5"/>
  <c r="B41" i="5"/>
  <c r="B31" i="5"/>
  <c r="B21" i="5"/>
  <c r="B32" i="5"/>
  <c r="B22" i="5"/>
  <c r="B33" i="5"/>
  <c r="B23" i="5"/>
  <c r="B34" i="5"/>
  <c r="B24" i="5"/>
  <c r="B35" i="5"/>
  <c r="B25" i="5"/>
  <c r="B36" i="5"/>
  <c r="B26" i="5"/>
  <c r="B37" i="5"/>
  <c r="B27" i="5"/>
  <c r="B38" i="5"/>
  <c r="B28" i="5"/>
  <c r="B18" i="5"/>
  <c r="B39" i="5"/>
  <c r="B29" i="5"/>
  <c r="B13" i="3"/>
  <c r="F11" i="5"/>
  <c r="D41" i="5"/>
  <c r="E41" i="5"/>
  <c r="D20" i="5"/>
  <c r="D30" i="5"/>
  <c r="D40" i="5"/>
  <c r="B45" i="3"/>
  <c r="C30" i="4" s="1"/>
  <c r="D19" i="5"/>
  <c r="E20" i="5"/>
  <c r="D29" i="5"/>
  <c r="E30" i="5"/>
  <c r="D39" i="5"/>
  <c r="E40" i="5"/>
  <c r="B46" i="3"/>
  <c r="C31" i="4" s="1"/>
  <c r="D18" i="5"/>
  <c r="E19" i="5"/>
  <c r="D28" i="5"/>
  <c r="E29" i="5"/>
  <c r="D38" i="5"/>
  <c r="E39" i="5"/>
  <c r="D27" i="5"/>
  <c r="D37" i="5"/>
  <c r="E17" i="5"/>
  <c r="C25" i="5"/>
  <c r="D26" i="5"/>
  <c r="E27" i="5"/>
  <c r="D36" i="5"/>
  <c r="E37" i="5"/>
  <c r="B50" i="3"/>
  <c r="B76" i="3"/>
  <c r="B77" i="3" s="1"/>
  <c r="D24" i="5"/>
  <c r="E25" i="5"/>
  <c r="D34" i="5"/>
  <c r="E35" i="5"/>
  <c r="D23" i="5"/>
  <c r="E24" i="5"/>
  <c r="D33" i="5"/>
  <c r="E34" i="5"/>
  <c r="D22" i="5"/>
  <c r="E23" i="5"/>
  <c r="C9" i="4" l="1"/>
  <c r="B27" i="3"/>
  <c r="B71" i="3"/>
  <c r="C40" i="4" s="1"/>
  <c r="B70" i="3"/>
  <c r="F9" i="5"/>
  <c r="F17" i="5" s="1"/>
  <c r="B23" i="3"/>
  <c r="B60" i="3"/>
  <c r="B9" i="3"/>
  <c r="D11" i="5" s="1"/>
  <c r="E11" i="5" s="1"/>
  <c r="D17" i="5" s="1"/>
  <c r="C46" i="4"/>
  <c r="F13" i="5" l="1"/>
  <c r="F23" i="5"/>
  <c r="F33" i="5"/>
  <c r="F34" i="5"/>
  <c r="G34" i="5" s="1"/>
  <c r="F28" i="5"/>
  <c r="G28" i="5" s="1"/>
  <c r="F30" i="5"/>
  <c r="G30" i="5" s="1"/>
  <c r="F37" i="5"/>
  <c r="G37" i="5" s="1"/>
  <c r="F31" i="5"/>
  <c r="G31" i="5" s="1"/>
  <c r="F41" i="5"/>
  <c r="G41" i="5" s="1"/>
  <c r="F32" i="5"/>
  <c r="G32" i="5" s="1"/>
  <c r="F26" i="5"/>
  <c r="F22" i="5"/>
  <c r="F35" i="5"/>
  <c r="F21" i="5"/>
  <c r="G21" i="5" s="1"/>
  <c r="F24" i="5"/>
  <c r="F18" i="5"/>
  <c r="G18" i="5" s="1"/>
  <c r="F20" i="5"/>
  <c r="G20" i="5" s="1"/>
  <c r="F39" i="5"/>
  <c r="G39" i="5" s="1"/>
  <c r="F27" i="5"/>
  <c r="G27" i="5" s="1"/>
  <c r="F29" i="5"/>
  <c r="G29" i="5" s="1"/>
  <c r="F25" i="5"/>
  <c r="F19" i="5"/>
  <c r="F40" i="5"/>
  <c r="F38" i="5"/>
  <c r="G38" i="5" s="1"/>
  <c r="F36" i="5"/>
  <c r="G36" i="5" s="1"/>
  <c r="C18" i="4"/>
  <c r="C34" i="4"/>
  <c r="B63" i="3"/>
  <c r="H36" i="5"/>
  <c r="G35" i="5"/>
  <c r="H26" i="5"/>
  <c r="G25" i="5"/>
  <c r="H37" i="5"/>
  <c r="H27" i="5"/>
  <c r="G26" i="5"/>
  <c r="H17" i="5"/>
  <c r="J17" i="5" s="1"/>
  <c r="H38" i="5"/>
  <c r="H28" i="5"/>
  <c r="H18" i="5"/>
  <c r="G17" i="5"/>
  <c r="H39" i="5"/>
  <c r="H29" i="5"/>
  <c r="H19" i="5"/>
  <c r="H40" i="5"/>
  <c r="H30" i="5"/>
  <c r="H20" i="5"/>
  <c r="G19" i="5"/>
  <c r="H41" i="5"/>
  <c r="G40" i="5"/>
  <c r="H31" i="5"/>
  <c r="H21" i="5"/>
  <c r="C5" i="4"/>
  <c r="H32" i="5"/>
  <c r="H22" i="5"/>
  <c r="H33" i="5"/>
  <c r="H23" i="5"/>
  <c r="G22" i="5"/>
  <c r="H34" i="5"/>
  <c r="G33" i="5"/>
  <c r="H24" i="5"/>
  <c r="G23" i="5"/>
  <c r="B24" i="3"/>
  <c r="C6" i="4" s="1"/>
  <c r="G24" i="5"/>
  <c r="H25" i="5"/>
  <c r="H35" i="5"/>
  <c r="C39" i="4"/>
  <c r="B72" i="3"/>
  <c r="C44" i="4"/>
  <c r="B10" i="3"/>
  <c r="B29" i="3"/>
  <c r="C20" i="4" s="1"/>
  <c r="B36" i="3"/>
  <c r="J18" i="5" l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C24" i="4"/>
  <c r="B37" i="3"/>
  <c r="B79" i="3" s="1"/>
  <c r="D9" i="5"/>
  <c r="B44" i="3"/>
  <c r="C29" i="4" s="1"/>
  <c r="B41" i="3"/>
  <c r="B49" i="3"/>
  <c r="B51" i="3" s="1"/>
  <c r="C32" i="4" s="1"/>
  <c r="B45" i="5"/>
  <c r="J37" i="5"/>
  <c r="J38" i="5" s="1"/>
  <c r="J39" i="5" s="1"/>
  <c r="J40" i="5" s="1"/>
  <c r="J41" i="5" s="1"/>
  <c r="B32" i="3"/>
  <c r="B53" i="3" l="1"/>
  <c r="B55" i="3" s="1"/>
  <c r="B78" i="3" s="1"/>
  <c r="C26" i="4"/>
  <c r="D13" i="5"/>
  <c r="E9" i="5"/>
  <c r="C8" i="4"/>
  <c r="E13" i="5" l="1"/>
  <c r="B17" i="5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B81" i="3"/>
  <c r="C11" i="4" s="1"/>
  <c r="C7" i="4"/>
  <c r="B80" i="3"/>
  <c r="C10" i="4" l="1"/>
  <c r="B82" i="3"/>
  <c r="C12" i="4" s="1"/>
  <c r="I37" i="5"/>
  <c r="I38" i="5" s="1"/>
  <c r="I39" i="5" s="1"/>
  <c r="I40" i="5" s="1"/>
  <c r="I41" i="5" s="1"/>
  <c r="B44" i="5"/>
  <c r="B46" i="5"/>
</calcChain>
</file>

<file path=xl/sharedStrings.xml><?xml version="1.0" encoding="utf-8"?>
<sst xmlns="http://schemas.openxmlformats.org/spreadsheetml/2006/main" count="448" uniqueCount="408">
  <si>
    <t>Saisies — votre situation</t>
  </si>
  <si>
    <t>Cellules bleues à renseigner. Le profil Anah et les résultats se calculent automatiquement.</t>
  </si>
  <si>
    <t>Votre foyer</t>
  </si>
  <si>
    <t>Nombre de personnes au foyer</t>
  </si>
  <si>
    <t>Adultes + enfants à charge (1 à 6).</t>
  </si>
  <si>
    <t>Revenu fiscal de référence (€/an)</t>
  </si>
  <si>
    <t>Page 1 de l'avis d'imposition.</t>
  </si>
  <si>
    <t>Zone géographique</t>
  </si>
  <si>
    <t>hors_idf</t>
  </si>
  <si>
    <t>hors_idf | idf  (plafonds RFR + élevés en IDF).</t>
  </si>
  <si>
    <t>Votre logement</t>
  </si>
  <si>
    <t>Statut</t>
  </si>
  <si>
    <t>po</t>
  </si>
  <si>
    <t>po = propriétaire occupant | pb = bailleur | loc = locataire.</t>
  </si>
  <si>
    <t>Type</t>
  </si>
  <si>
    <t>maison</t>
  </si>
  <si>
    <t>maison | appt.</t>
  </si>
  <si>
    <t>Surface (m²)</t>
  </si>
  <si>
    <t>Surface chauffée.</t>
  </si>
  <si>
    <t>DPE actuel</t>
  </si>
  <si>
    <t>E</t>
  </si>
  <si>
    <t>A à G. E/F/G = passoires → aides bonifiées.</t>
  </si>
  <si>
    <t>Chauffage actuel</t>
  </si>
  <si>
    <t>gaz</t>
  </si>
  <si>
    <t>gaz | fioul | elec | bois.</t>
  </si>
  <si>
    <t>Eau chaude sanitaire actuelle</t>
  </si>
  <si>
    <t>meme</t>
  </si>
  <si>
    <t>meme | ballon_elec | cet.</t>
  </si>
  <si>
    <t>Projet de travaux</t>
  </si>
  <si>
    <t>pac_aireau</t>
  </si>
  <si>
    <t>pac_aireau | pac_geo | cet_only | reno_ampleur | pv_autoconso | aucun_log.</t>
  </si>
  <si>
    <t>Votre mobilité</t>
  </si>
  <si>
    <t>Véhicule actuel</t>
  </si>
  <si>
    <t>essence | diesel | hybride | aucun.</t>
  </si>
  <si>
    <t>Kilométrage annuel (km)</t>
  </si>
  <si>
    <t>Distance totale parcourue par an.</t>
  </si>
  <si>
    <t>Mode de déplacement principal</t>
  </si>
  <si>
    <t>domicile</t>
  </si>
  <si>
    <t>domicile (recharge maison) | mixte (long trajets) | urbain (recharge publique).</t>
  </si>
  <si>
    <t>Projet de véhicule</t>
  </si>
  <si>
    <t>ve_neuf</t>
  </si>
  <si>
    <t>ve_neuf | ve_occ | leasing_social | aucun_mob.</t>
  </si>
  <si>
    <t>Borne de recharge à domicile</t>
  </si>
  <si>
    <t>oui</t>
  </si>
  <si>
    <t>oui (wallbox) | copro (prime ADVENIR) | non.</t>
  </si>
  <si>
    <t>Paramètres de simulation</t>
  </si>
  <si>
    <t>Horizon de cumul (années)</t>
  </si>
  <si>
    <t>Entre 15 et 25 ans.</t>
  </si>
  <si>
    <t>Solutions à inclure dans le bilan étalé</t>
  </si>
  <si>
    <t>Inclure PAC air/eau ?</t>
  </si>
  <si>
    <t>OUI</t>
  </si>
  <si>
    <t>Bascule du chauffage actuel vers PAC.</t>
  </si>
  <si>
    <t>Inclure rénovation d'ampleur ?</t>
  </si>
  <si>
    <t>NON</t>
  </si>
  <si>
    <t>Bouquet de travaux gain ≥ 2 classes DPE.</t>
  </si>
  <si>
    <t>Inclure VE neuf ?</t>
  </si>
  <si>
    <t>Bascule véhicule thermique → électrique.</t>
  </si>
  <si>
    <t>Inclure photovoltaïque ?</t>
  </si>
  <si>
    <t>Installation 3 kWc autoconsommation.</t>
  </si>
  <si>
    <t>Année de démarrage par chantier (étalement)</t>
  </si>
  <si>
    <t>Année de démarrage PAC</t>
  </si>
  <si>
    <t>1 = première année de l'horizon.</t>
  </si>
  <si>
    <t>Année de démarrage Réno</t>
  </si>
  <si>
    <t>Année de démarrage VE</t>
  </si>
  <si>
    <t>Année de démarrage PV</t>
  </si>
  <si>
    <t>Hypothèses — Passer à l'électrique 2026</t>
  </si>
  <si>
    <t>Cellules bleues : valeurs modifiables. Tout le classeur recalcule automatiquement.</t>
  </si>
  <si>
    <t>Prix des énergies (€/kWh PCI ou €/L)</t>
  </si>
  <si>
    <t>Électricité — heures pleines (€/kWh)</t>
  </si>
  <si>
    <t>Tarif réglementé EDF base — CRE</t>
  </si>
  <si>
    <t>Électricité — heures creuses (€/kWh)</t>
  </si>
  <si>
    <t>Tarif réglementé EDF HC — CRE</t>
  </si>
  <si>
    <t>Gaz (€/kWh PCS)</t>
  </si>
  <si>
    <t>Prix repère gaz — CRE 2026</t>
  </si>
  <si>
    <t>Fioul (€/kWh PCI)</t>
  </si>
  <si>
    <t>≈ 1,35 €/L sur 10 kWh/L</t>
  </si>
  <si>
    <t>Bois / pellets (€/kWh)</t>
  </si>
  <si>
    <t>Moyenne 2026 — FNB</t>
  </si>
  <si>
    <t>Essence SP95-E10 (€/L)</t>
  </si>
  <si>
    <t>Moyenne 2026 — DGEC</t>
  </si>
  <si>
    <t>Diesel (€/L)</t>
  </si>
  <si>
    <t>COP des PAC &amp; consommation véhicules</t>
  </si>
  <si>
    <t>COP PAC air/eau</t>
  </si>
  <si>
    <t>ADEME / Uniclima</t>
  </si>
  <si>
    <t>COP PAC géothermique</t>
  </si>
  <si>
    <t>ADEME</t>
  </si>
  <si>
    <t>COP chauffe-eau thermo (CET)</t>
  </si>
  <si>
    <t>Conso véhicule thermique (L/100 km)</t>
  </si>
  <si>
    <t>WLTP segment C</t>
  </si>
  <si>
    <t>Conso véhicule électrique (kWh/100 km)</t>
  </si>
  <si>
    <t>Conso ECS (kWh/personne/an)</t>
  </si>
  <si>
    <t>Hyp. moyenne foyer</t>
  </si>
  <si>
    <t>Consommation chauffage + ECS par classe DPE (kWh/m²/an)</t>
  </si>
  <si>
    <t>Classe</t>
  </si>
  <si>
    <t>kWh/m²/an</t>
  </si>
  <si>
    <t>A</t>
  </si>
  <si>
    <t>Seuils DPE 2025 (méthode 3CL) — arrêté 31 mars 2021</t>
  </si>
  <si>
    <t>B</t>
  </si>
  <si>
    <t>C</t>
  </si>
  <si>
    <t>D</t>
  </si>
  <si>
    <t>F</t>
  </si>
  <si>
    <t>G</t>
  </si>
  <si>
    <t>Coûts d'installation moyens (€ TTC clé en main)</t>
  </si>
  <si>
    <t>PAC air/eau</t>
  </si>
  <si>
    <t>Devis 2025-2026 métropole</t>
  </si>
  <si>
    <t>PAC géothermique</t>
  </si>
  <si>
    <t>Devis 2025-2026</t>
  </si>
  <si>
    <t>Chauffe-eau thermodynamique (CET seul)</t>
  </si>
  <si>
    <t>Rénovation d'ampleur (2 sauts DPE)</t>
  </si>
  <si>
    <t>Ordre de grandeur Anah</t>
  </si>
  <si>
    <t>Photovoltaïque 3 kWc autoconsommation</t>
  </si>
  <si>
    <t>Véhicule électrique — prix &amp; primes</t>
  </si>
  <si>
    <t>Prix moyen VE neuf (€)</t>
  </si>
  <si>
    <t>Hyp. segment B/C 2026</t>
  </si>
  <si>
    <t>Prix moyen thermique équivalent (€)</t>
  </si>
  <si>
    <t>Surcoût VE vs thermique (€)</t>
  </si>
  <si>
    <t>Hyp. : ménage rachète un véhicule de toute façon</t>
  </si>
  <si>
    <t>Surbonus batterie fabriquée en UE (€)</t>
  </si>
  <si>
    <t>Score environnemental ADEME</t>
  </si>
  <si>
    <t>Prime conversion diesel modeste (€)</t>
  </si>
  <si>
    <t>Revenus modestes + mise au rebut</t>
  </si>
  <si>
    <t>Leasing social — gain annuel (€/an)</t>
  </si>
  <si>
    <t>(300−100) × 12 vs LLD marché</t>
  </si>
  <si>
    <t>Coût installation borne domicile (€)</t>
  </si>
  <si>
    <t>Wallbox + pose</t>
  </si>
  <si>
    <t>Taux crédit d'impôt borne</t>
  </si>
  <si>
    <t>LF 2026</t>
  </si>
  <si>
    <t>Plafond crédit d'impôt borne (€)</t>
  </si>
  <si>
    <t>Prime ADVENIR copropriété (€/PdC)</t>
  </si>
  <si>
    <t>Programme ADVENIR — CEE</t>
  </si>
  <si>
    <t>Photovoltaïque autoconsommation</t>
  </si>
  <si>
    <t>Prime invest. ≤ 3 kWc (€/kWc)</t>
  </si>
  <si>
    <t>Arrêté tarifaire CRE</t>
  </si>
  <si>
    <t>Prime invest. ≤ 9 kWc (€/kWc)</t>
  </si>
  <si>
    <t>Tarif OA achat surplus (€/kWh)</t>
  </si>
  <si>
    <t>CRE 2026</t>
  </si>
  <si>
    <t>Productivité (kWh/kWc/an)</t>
  </si>
  <si>
    <t>PVGIS France métropole</t>
  </si>
  <si>
    <t>Puissance retenue (kWc)</t>
  </si>
  <si>
    <t>Installation type résidentielle</t>
  </si>
  <si>
    <t>Part autoconsommée</t>
  </si>
  <si>
    <t>MaPrimeRénov' parcours par geste (€)</t>
  </si>
  <si>
    <t>Profil Anah</t>
  </si>
  <si>
    <t>PAC géo</t>
  </si>
  <si>
    <t>CET</t>
  </si>
  <si>
    <t>Très modestes (bleu)</t>
  </si>
  <si>
    <t>Modestes (jaune)</t>
  </si>
  <si>
    <t>Intermédiaires (violet)</t>
  </si>
  <si>
    <t>Supérieurs (rose)</t>
  </si>
  <si>
    <t>Source : Anah — MaPrimeRénov' parcours par geste 2026</t>
  </si>
  <si>
    <t>Plafonds de travaux pris en compte par MPR (€)</t>
  </si>
  <si>
    <t>Plafond travaux PAC air/eau</t>
  </si>
  <si>
    <t>Anah</t>
  </si>
  <si>
    <t>Plafond travaux PAC géothermique</t>
  </si>
  <si>
    <t>Plafond travaux CET</t>
  </si>
  <si>
    <t>CEE — Coup de pouce Chauffage (€)</t>
  </si>
  <si>
    <t>Bonifié (gaz/fioul)</t>
  </si>
  <si>
    <t>Standard</t>
  </si>
  <si>
    <t>CET (BAR-TH-148)</t>
  </si>
  <si>
    <t>Bonus dépose fioul</t>
  </si>
  <si>
    <t>Source : DGEC — arrêté Coup de pouce Chauffage</t>
  </si>
  <si>
    <t>MPR Parcours accompagné (rénovation d'ampleur)</t>
  </si>
  <si>
    <t>Sauts DPE</t>
  </si>
  <si>
    <t>Plafond travaux (€)</t>
  </si>
  <si>
    <t>Taux MPR Réno d'ampleur — profil × sauts DPE</t>
  </si>
  <si>
    <t>2 sauts</t>
  </si>
  <si>
    <t>3 sauts</t>
  </si>
  <si>
    <t>4 sauts</t>
  </si>
  <si>
    <t>Bonus sortie passoire F/G (€)</t>
  </si>
  <si>
    <t>MPR Parcours accompagné</t>
  </si>
  <si>
    <t>Sauts DPE retenus pour le calcul Réno</t>
  </si>
  <si>
    <t>Hyp. simulateur (2/3/4)</t>
  </si>
  <si>
    <t>Facteur conso après Réno</t>
  </si>
  <si>
    <t>Hyp. -45 % après travaux</t>
  </si>
  <si>
    <t>Prime CEE « Coup de pouce VPE » par tranche RFR/part</t>
  </si>
  <si>
    <t>RFR/part max (€)</t>
  </si>
  <si>
    <t>Montant prime (€)</t>
  </si>
  <si>
    <t>Source : CEE — Coup de pouce VPE (LF 2026)</t>
  </si>
  <si>
    <t>Plafonds RFR Anah — Hors Île-de-France (€/an)</t>
  </si>
  <si>
    <t>Personnes</t>
  </si>
  <si>
    <t>Bleu (max très mod.)</t>
  </si>
  <si>
    <t>Jaune (max modestes)</t>
  </si>
  <si>
    <t>Violet (max interm.)</t>
  </si>
  <si>
    <t>Plafonds RFR Anah — Île-de-France (€/an)</t>
  </si>
  <si>
    <t>Bleu</t>
  </si>
  <si>
    <t>Jaune</t>
  </si>
  <si>
    <t>Violet</t>
  </si>
  <si>
    <t>Plafond cumul aides (% du coût projet)</t>
  </si>
  <si>
    <t>Réglementation MPR</t>
  </si>
  <si>
    <t>Calculs intermédiaires</t>
  </si>
  <si>
    <t>Les cellules ci-dessous sont des formules — ne modifiez que Saisies et Hypothèses.</t>
  </si>
  <si>
    <t>1. Profil Anah</t>
  </si>
  <si>
    <t>Personnes (1-6, borné)</t>
  </si>
  <si>
    <t>Borne basse 1 et borne haute 6 pour les tables RFR.</t>
  </si>
  <si>
    <t>Seuil RFR — bleu</t>
  </si>
  <si>
    <t>Plafond très modestes selon zone × nb pers.</t>
  </si>
  <si>
    <t>Seuil RFR — jaune</t>
  </si>
  <si>
    <t>Seuil RFR — violet</t>
  </si>
  <si>
    <t>Bleu / jaune / violet / rose.</t>
  </si>
  <si>
    <t>Index profil (1=bleu .. 4=rose)</t>
  </si>
  <si>
    <t>Sert aux lookups MPR/CEE.</t>
  </si>
  <si>
    <t>Parts fiscales (estim.)</t>
  </si>
  <si>
    <t>1 adulte → 1 part, 2 adultes → 2 parts, +0,5 par enfant.</t>
  </si>
  <si>
    <t>RFR / part (€)</t>
  </si>
  <si>
    <t>Détermine la tranche prime VPE.</t>
  </si>
  <si>
    <t>Prime VPE selon RFR/part (€)</t>
  </si>
  <si>
    <t>Tranche où le plafond ≥ RFR/part (recherche approchée).</t>
  </si>
  <si>
    <t>2. Coût actuel — situation de référence</t>
  </si>
  <si>
    <t>Prix énergie chauffage actuel (€/kWh)</t>
  </si>
  <si>
    <t>Élec heures pleines si chauffage électrique.</t>
  </si>
  <si>
    <t>Conso DPE (kWh/m²/an)</t>
  </si>
  <si>
    <t>Lookup classe DPE → kWh/m²/an.</t>
  </si>
  <si>
    <t>Conso totale chauffage + ECS (kWh/an)</t>
  </si>
  <si>
    <t>Conso DPE × surface.</t>
  </si>
  <si>
    <t>Coût chauffage actuel (€/an)</t>
  </si>
  <si>
    <t>Prix carburant actuel (€/L)</t>
  </si>
  <si>
    <t>Hybride : 70 % de l'essence (hyp.).</t>
  </si>
  <si>
    <t>Conso véhicule actuelle (L/an)</t>
  </si>
  <si>
    <t>Coût carburant actuel (€/an)</t>
  </si>
  <si>
    <t>TOTAL coût énergie actuel (€/an)</t>
  </si>
  <si>
    <t>Chauffage + carburant.</t>
  </si>
  <si>
    <t>Part du revenu (%)</t>
  </si>
  <si>
    <t>3. Aides MOBILITÉ</t>
  </si>
  <si>
    <t>Prime CEE VPE (si VE neuf, €)</t>
  </si>
  <si>
    <t>0 sinon.</t>
  </si>
  <si>
    <t>Surbonus batterie UE (si VE neuf, €)</t>
  </si>
  <si>
    <t>Score environnemental ADEME.</t>
  </si>
  <si>
    <t>Prime conversion diesel (€)</t>
  </si>
  <si>
    <t>Diesel mis au rebut + revenus modestes.</t>
  </si>
  <si>
    <t>Crédit d'impôt borne domicile (€)</t>
  </si>
  <si>
    <t>75 % plafonné à 500 €.</t>
  </si>
  <si>
    <t>Prime ADVENIR copropriété (€)</t>
  </si>
  <si>
    <t>TOTAL aides mobilité (€)</t>
  </si>
  <si>
    <t>Prix élec recharge VE (€/kWh, selon mode)</t>
  </si>
  <si>
    <t>HC domicile / 0,25 urbain / 0,30 mixte.</t>
  </si>
  <si>
    <t>Coût élec véhicule (€/an)</t>
  </si>
  <si>
    <t>Économie carburant (€/an)</t>
  </si>
  <si>
    <t>Carburant économisé − électricité consommée.</t>
  </si>
  <si>
    <t>Gain leasing social (€/an si éligible)</t>
  </si>
  <si>
    <t>Réservé bleu/jaune.</t>
  </si>
  <si>
    <t>TOTAL économie mobilité (€/an)</t>
  </si>
  <si>
    <t>4. Aides LOGEMENT</t>
  </si>
  <si>
    <t>Éligibilité logement (1 = oui)</t>
  </si>
  <si>
    <t>Locataire = pas d'aides chauffage/rénovation.</t>
  </si>
  <si>
    <t>MPR — PAC air/eau (si projet)</t>
  </si>
  <si>
    <t>Lookup table MPR profil × geste.</t>
  </si>
  <si>
    <t>MPR — PAC géothermique (si projet)</t>
  </si>
  <si>
    <t>MPR — CET seul (si projet)</t>
  </si>
  <si>
    <t>CEE — Coup de pouce (si projet PAC)</t>
  </si>
  <si>
    <t>Bonifié si sortie gaz/fioul, standard sinon.</t>
  </si>
  <si>
    <t>CEE — CET (si projet CET)</t>
  </si>
  <si>
    <t>Fiche BAR-TH-148.</t>
  </si>
  <si>
    <t>Bonus dépose cuve fioul (si chauffage fioul + PAC)</t>
  </si>
  <si>
    <t>Index sauts DPE (col table : 2=2, 3=3, 4=4)</t>
  </si>
  <si>
    <t>Position dans la ligne du taux Réno.</t>
  </si>
  <si>
    <t>Plafond travaux Réno (€)</t>
  </si>
  <si>
    <t>Selon nb de sauts.</t>
  </si>
  <si>
    <t>Taux MPR Réno ampleur</t>
  </si>
  <si>
    <t>Profil × sauts.</t>
  </si>
  <si>
    <t>Coût Réno retenu (€, plafonné)</t>
  </si>
  <si>
    <t>MPR Réno d'ampleur (€)</t>
  </si>
  <si>
    <t>Taux × coût retenu.</t>
  </si>
  <si>
    <t>TOTAL aides logement avant plafond (€)</t>
  </si>
  <si>
    <t>Coût projet logement (€)</t>
  </si>
  <si>
    <t>Selon le projet sélectionné.</t>
  </si>
  <si>
    <t>TOTAL aides logement plafonnées (€)</t>
  </si>
  <si>
    <t>Plafond = 90 % du coût projet logement.</t>
  </si>
  <si>
    <t>5. Économies LOGEMENT (€/an)</t>
  </si>
  <si>
    <t>COP utilisé pour la PAC (selon projet)</t>
  </si>
  <si>
    <t>Géothermique sinon air/eau.</t>
  </si>
  <si>
    <t>Coût après PAC (€/an)</t>
  </si>
  <si>
    <t>Conso ÷ COP × prix élec.</t>
  </si>
  <si>
    <t>Économie PAC (€/an, si projet PAC)</t>
  </si>
  <si>
    <t>Économie CET seul (€/an)</t>
  </si>
  <si>
    <t>Conso ECS forfaitaire × (1 − 1/COP).</t>
  </si>
  <si>
    <t>Économie Rénovation d'ampleur (€/an)</t>
  </si>
  <si>
    <t>Gain = (1 − facteur après) × coût actuel.</t>
  </si>
  <si>
    <t>TOTAL économie logement (€/an)</t>
  </si>
  <si>
    <t>6. Photovoltaïque (si projet pv_autoconso)</t>
  </si>
  <si>
    <t>PV actif (1 = oui)</t>
  </si>
  <si>
    <t>Référence : Hypothèses → puissance.</t>
  </si>
  <si>
    <t>Prime invest. PV (€)</t>
  </si>
  <si>
    <t>kWc × €/kWc selon palier.</t>
  </si>
  <si>
    <t>Production PV (kWh/an)</t>
  </si>
  <si>
    <t>Économie autoconso PV (€/an)</t>
  </si>
  <si>
    <t>Énergie évitée au tarif HP.</t>
  </si>
  <si>
    <t>Revenu OA surplus PV (€/an)</t>
  </si>
  <si>
    <t>Surplus injecté × tarif OA.</t>
  </si>
  <si>
    <t>TOTAL économie + revenu PV (€/an)</t>
  </si>
  <si>
    <t>7. Synthèse : coûts, aides, économies, gain net</t>
  </si>
  <si>
    <t>Coût borne (si oui, €)</t>
  </si>
  <si>
    <t>Surcoût VE (si VE neuf, €)</t>
  </si>
  <si>
    <t>Vs achat thermique de remplacement.</t>
  </si>
  <si>
    <t>TOTAL coût projets engagés (€)</t>
  </si>
  <si>
    <t>Logement + borne + surcoût VE.</t>
  </si>
  <si>
    <t>TOTAL aides publiques (€)</t>
  </si>
  <si>
    <t>TOTAL économies récurrentes (€/an)</t>
  </si>
  <si>
    <t>Investissement net d'aides (€)</t>
  </si>
  <si>
    <t>Reste à charge ménage.</t>
  </si>
  <si>
    <t>Gain net cumulé sur horizon (€)</t>
  </si>
  <si>
    <t>Aides + éco × horizon − coût projet.</t>
  </si>
  <si>
    <t>ROI — années avant amortissement</t>
  </si>
  <si>
    <t>Invest net ÷ économie annuelle.</t>
  </si>
  <si>
    <t>Résultats — synthèse</t>
  </si>
  <si>
    <t>Tous les chiffres se mettent à jour à chaque modification des Saisies ou des Hypothèses.</t>
  </si>
  <si>
    <t>Indicateurs clés</t>
  </si>
  <si>
    <t>Situation actuelle (énergie/an)</t>
  </si>
  <si>
    <t>Chauffage + carburant aux prix 2026.</t>
  </si>
  <si>
    <t>Part du revenu</t>
  </si>
  <si>
    <t>Moyenne nationale ≈ 8 % (foyer DPE D à essence).</t>
  </si>
  <si>
    <t>Aides publiques mobilisables (État + CEE)</t>
  </si>
  <si>
    <t>MaPrimeRénov' + CEE + bonus + crédit d'impôt borne + prime PV.</t>
  </si>
  <si>
    <t>Économie annuelle récurrente</t>
  </si>
  <si>
    <t>Énergie économisée après bascule.</t>
  </si>
  <si>
    <t>Coût total des projets engagés</t>
  </si>
  <si>
    <t>Travaux logement + borne + surcoût VE.</t>
  </si>
  <si>
    <t>Reste à charge ménage (invest. net)</t>
  </si>
  <si>
    <t>Coût projets − aides publiques.</t>
  </si>
  <si>
    <t>Gain net cumulé sur horizon</t>
  </si>
  <si>
    <t>Aides + économies × horizon − coût projets.</t>
  </si>
  <si>
    <t>Retour sur investissement</t>
  </si>
  <si>
    <t>Reste à charge ÷ économie annuelle.</t>
  </si>
  <si>
    <t>Détail des dispositifs mobilisables</t>
  </si>
  <si>
    <t>Dispositif</t>
  </si>
  <si>
    <t>Montant (€)</t>
  </si>
  <si>
    <t>Conditions / commentaire</t>
  </si>
  <si>
    <t>── MOBILITÉ ──</t>
  </si>
  <si>
    <t>Prime CEE « VPE »</t>
  </si>
  <si>
    <t>Si VE neuf ; tranche RFR/part.</t>
  </si>
  <si>
    <t>Surbonus batterie UE</t>
  </si>
  <si>
    <t>Si VE neuf ; score env. ADEME.</t>
  </si>
  <si>
    <t>Prime à la conversion (diesel)</t>
  </si>
  <si>
    <t>Crédit d'impôt borne domicile</t>
  </si>
  <si>
    <t>Prime ADVENIR copropriété</t>
  </si>
  <si>
    <t>Installation point de charge collectif.</t>
  </si>
  <si>
    <t>Économie carburant (récurrente)</t>
  </si>
  <si>
    <t>Annuelle, vs essence/diesel actuel.</t>
  </si>
  <si>
    <t>Gain leasing social (récurrent)</t>
  </si>
  <si>
    <t>Annuel, vs LLD marché.</t>
  </si>
  <si>
    <t>── LOGEMENT ──</t>
  </si>
  <si>
    <t>MaPrimeRénov' — PAC air/eau</t>
  </si>
  <si>
    <t>Selon profil Anah.</t>
  </si>
  <si>
    <t>MaPrimeRénov' — PAC géothermique</t>
  </si>
  <si>
    <t>MaPrimeRénov' — CET</t>
  </si>
  <si>
    <t>CEE — Coup de pouce chauffage</t>
  </si>
  <si>
    <t>Bonifié si sortie gaz/fioul.</t>
  </si>
  <si>
    <t>CEE — CET (BAR-TH-148)</t>
  </si>
  <si>
    <t>Si projet = CET seul.</t>
  </si>
  <si>
    <t>Bonus dépose cuve fioul</t>
  </si>
  <si>
    <t>Si chauffage actuel = fioul + PAC.</t>
  </si>
  <si>
    <t>MPR Parcours accompagné (Réno)</t>
  </si>
  <si>
    <t>Si rénovation d'ampleur.</t>
  </si>
  <si>
    <t>Bonus sortie passoire F/G</t>
  </si>
  <si>
    <t>Si DPE actuel F ou G + Réno.</t>
  </si>
  <si>
    <t>Économie chauffage PAC (récurrente)</t>
  </si>
  <si>
    <t>Annuelle.</t>
  </si>
  <si>
    <t>Économie CET (récurrente)</t>
  </si>
  <si>
    <t>Économie Réno ampleur (récurrente)</t>
  </si>
  <si>
    <t>── SOLAIRE ──</t>
  </si>
  <si>
    <t>Prime à l'investissement PV</t>
  </si>
  <si>
    <t>Si projet PV ; € × kWc.</t>
  </si>
  <si>
    <t>Économie autoconsommation (récurrente)</t>
  </si>
  <si>
    <t>Revenu OA surplus PV (récurrent)</t>
  </si>
  <si>
    <t>Annuel ; tarif d'achat surplus.</t>
  </si>
  <si>
    <t>Profil Anah calculé</t>
  </si>
  <si>
    <t>Profil retenu :</t>
  </si>
  <si>
    <t>Bleu / jaune / violet / rose — conditionne les barèmes.</t>
  </si>
  <si>
    <t>RFR / part :</t>
  </si>
  <si>
    <t>Seuils Anah (bleu / jaune / violet, €) :</t>
  </si>
  <si>
    <t>Bilan étalé sur 25 ans</t>
  </si>
  <si>
    <t>Cochez OUI/NON dans Saisies pour inclure chaque chantier. L'année de démarrage est paramétrable par chantier.</t>
  </si>
  <si>
    <t>Inclusion :</t>
  </si>
  <si>
    <t xml:space="preserve">PAC = </t>
  </si>
  <si>
    <t xml:space="preserve">Réno = </t>
  </si>
  <si>
    <t xml:space="preserve">VE = </t>
  </si>
  <si>
    <t xml:space="preserve">PV = </t>
  </si>
  <si>
    <t>Démarrage :</t>
  </si>
  <si>
    <t>PAC an</t>
  </si>
  <si>
    <t>Réno an</t>
  </si>
  <si>
    <t>VE an</t>
  </si>
  <si>
    <t>PV an</t>
  </si>
  <si>
    <t>Bilan par solution (avant étalement)</t>
  </si>
  <si>
    <t>Solution</t>
  </si>
  <si>
    <t>Inclus ?</t>
  </si>
  <si>
    <t>Coût (€)</t>
  </si>
  <si>
    <t>Aides (€)</t>
  </si>
  <si>
    <t>Reste (€)</t>
  </si>
  <si>
    <t>Éco/an (€)</t>
  </si>
  <si>
    <t>Démarrage (an)</t>
  </si>
  <si>
    <t>Rénovation d'ampleur</t>
  </si>
  <si>
    <t>VE neuf</t>
  </si>
  <si>
    <t>Photovoltaïque</t>
  </si>
  <si>
    <t>TOTAL</t>
  </si>
  <si>
    <t>Bilan année par année</t>
  </si>
  <si>
    <t>Année</t>
  </si>
  <si>
    <t>Invest PAC</t>
  </si>
  <si>
    <t>Invest Réno</t>
  </si>
  <si>
    <t>Invest VE</t>
  </si>
  <si>
    <t>Invest PV</t>
  </si>
  <si>
    <t>Éco cumulée /an</t>
  </si>
  <si>
    <t>Coût scénario /an</t>
  </si>
  <si>
    <t>Coût actuel /an</t>
  </si>
  <si>
    <t>Cumul scénario</t>
  </si>
  <si>
    <t>Cumul « ne rien faire »</t>
  </si>
  <si>
    <t>Synthèse</t>
  </si>
  <si>
    <t>Cumul scénario sur horizon</t>
  </si>
  <si>
    <t>Économie cumulée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</si>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</sst>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&quot; m²&quot;"/>
    <numFmt numFmtId="165" formatCode="#,##0&quot; km&quot;"/>
    <numFmt numFmtId="166" formatCode="0.000"/>
    <numFmt numFmtId="167" formatCode="0.0&quot; L/100 km&quot;"/>
    <numFmt numFmtId="168" formatCode="0.0&quot; kWh/100 km&quot;"/>
    <numFmt numFmtId="169" formatCode="#,##0&quot; kWh/an&quot;"/>
    <numFmt numFmtId="170" formatCode="#,##0&quot; kWh/m²/an&quot;"/>
    <numFmt numFmtId="171" formatCode="#,##0&quot; €&quot;;[Red]\-#,##0&quot; €&quot;;\—"/>
    <numFmt numFmtId="172" formatCode="0.0%"/>
    <numFmt numFmtId="173" formatCode="#,##0&quot; €/an&quot;;[Red]\-#,##0&quot; €/an&quot;;\—"/>
    <numFmt numFmtId="174" formatCode="#,##0&quot; L/an&quot;"/>
    <numFmt numFmtId="175" formatCode="0.0&quot; ans&quot;"/>
  </numFmts>
  <fonts count="14" x14ac:knownFonts="1">
    <font>
      <sz val="11"/>
      <color theme="1"/>
      <name val="Calibri"/>
      <family val="2"/>
      <charset val="1"/>
    </font>
    <font>
      <b/>
      <sz val="14"/>
      <color rgb="FF000091"/>
      <name val="Arial"/>
      <charset val="1"/>
    </font>
    <font>
      <i/>
      <sz val="9"/>
      <color rgb="FF666666"/>
      <name val="Arial"/>
      <charset val="1"/>
    </font>
    <font>
      <b/>
      <sz val="11"/>
      <color rgb="FF000091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9"/>
      <color rgb="FF666666"/>
      <name val="Arial"/>
      <charset val="1"/>
    </font>
    <font>
      <b/>
      <sz val="18"/>
      <color rgb="FFB34000"/>
      <name val="Arial"/>
      <charset val="1"/>
    </font>
    <font>
      <b/>
      <sz val="18"/>
      <color rgb="FF000091"/>
      <name val="Arial"/>
      <charset val="1"/>
    </font>
    <font>
      <b/>
      <sz val="18"/>
      <color rgb="FF169B62"/>
      <name val="Arial"/>
      <charset val="1"/>
    </font>
    <font>
      <b/>
      <sz val="10"/>
      <color rgb="FF008000"/>
      <name val="Arial"/>
      <charset val="1"/>
    </font>
    <font>
      <sz val="10"/>
      <color rgb="FF0080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E3E3FD"/>
        <bgColor rgb="FFE0E0E0"/>
      </patternFill>
    </fill>
    <fill>
      <patternFill patternType="solid">
        <fgColor rgb="FFFFFFE0"/>
        <bgColor rgb="FFFFF8F3"/>
      </patternFill>
    </fill>
    <fill>
      <patternFill patternType="solid">
        <fgColor rgb="FF000091"/>
        <bgColor rgb="FF000080"/>
      </patternFill>
    </fill>
    <fill>
      <patternFill patternType="solid">
        <fgColor rgb="FFFFF8F3"/>
        <bgColor rgb="FFF5F5F5"/>
      </patternFill>
    </fill>
    <fill>
      <patternFill patternType="solid">
        <fgColor rgb="FFF5F5FE"/>
        <bgColor rgb="FFF5F5F5"/>
      </patternFill>
    </fill>
    <fill>
      <patternFill patternType="solid">
        <fgColor rgb="FFF3FBF6"/>
        <bgColor rgb="FFF5F5F5"/>
      </patternFill>
    </fill>
    <fill>
      <patternFill patternType="solid">
        <fgColor rgb="FFF5F5F5"/>
        <bgColor rgb="FFF5F5FE"/>
      </patternFill>
    </fill>
    <fill>
      <patternFill patternType="solid">
        <fgColor rgb="FFE0E0E0"/>
        <bgColor rgb="FFE3E3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171" fontId="7" fillId="7" borderId="0" xfId="0" applyNumberFormat="1" applyFont="1" applyFill="1" applyAlignment="1">
      <alignment horizontal="right" vertical="center"/>
    </xf>
    <xf numFmtId="171" fontId="5" fillId="0" borderId="0" xfId="0" applyNumberFormat="1" applyFont="1" applyAlignment="1">
      <alignment horizontal="right" vertical="center"/>
    </xf>
    <xf numFmtId="0" fontId="2" fillId="0" borderId="0" xfId="0" applyFont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0" fillId="0" borderId="0" xfId="0" applyAlignment="1">
      <alignment horizontal="left" vertical="center" wrapText="1"/>
    </xf>
    <xf numFmtId="3" fontId="4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166" fontId="4" fillId="3" borderId="0" xfId="0" applyNumberFormat="1" applyFont="1" applyFill="1" applyAlignment="1">
      <alignment horizontal="right" vertical="center"/>
    </xf>
    <xf numFmtId="2" fontId="4" fillId="3" borderId="0" xfId="0" applyNumberFormat="1" applyFont="1" applyFill="1" applyAlignment="1">
      <alignment horizontal="right" vertical="center"/>
    </xf>
    <xf numFmtId="167" fontId="4" fillId="3" borderId="0" xfId="0" applyNumberFormat="1" applyFont="1" applyFill="1" applyAlignment="1">
      <alignment horizontal="right" vertical="center"/>
    </xf>
    <xf numFmtId="168" fontId="4" fillId="3" borderId="0" xfId="0" applyNumberFormat="1" applyFont="1" applyFill="1" applyAlignment="1">
      <alignment horizontal="right" vertical="center"/>
    </xf>
    <xf numFmtId="169" fontId="4" fillId="3" borderId="0" xfId="0" applyNumberFormat="1" applyFont="1" applyFill="1" applyAlignment="1">
      <alignment horizontal="right" vertical="center"/>
    </xf>
    <xf numFmtId="0" fontId="6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70" fontId="4" fillId="3" borderId="0" xfId="0" applyNumberFormat="1" applyFont="1" applyFill="1" applyAlignment="1">
      <alignment horizontal="right" vertical="center"/>
    </xf>
    <xf numFmtId="171" fontId="4" fillId="3" borderId="0" xfId="0" applyNumberFormat="1" applyFont="1" applyFill="1" applyAlignment="1">
      <alignment horizontal="right" vertical="center"/>
    </xf>
    <xf numFmtId="171" fontId="5" fillId="0" borderId="0" xfId="0" applyNumberFormat="1" applyFont="1" applyAlignment="1">
      <alignment horizontal="right" vertical="center"/>
    </xf>
    <xf numFmtId="172" fontId="4" fillId="3" borderId="0" xfId="0" applyNumberFormat="1" applyFont="1" applyFill="1" applyAlignment="1">
      <alignment horizontal="right" vertical="center"/>
    </xf>
    <xf numFmtId="3" fontId="4" fillId="3" borderId="0" xfId="0" applyNumberFormat="1" applyFont="1" applyFill="1" applyAlignment="1">
      <alignment horizontal="right" vertical="center"/>
    </xf>
    <xf numFmtId="0" fontId="7" fillId="0" borderId="0" xfId="0" applyFont="1"/>
    <xf numFmtId="0" fontId="0" fillId="0" borderId="0" xfId="0" applyAlignment="1">
      <alignment horizontal="center" vertical="center"/>
    </xf>
    <xf numFmtId="3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2" fontId="5" fillId="0" borderId="0" xfId="0" applyNumberFormat="1" applyFont="1" applyAlignment="1">
      <alignment horizontal="right" vertical="center"/>
    </xf>
    <xf numFmtId="166" fontId="5" fillId="0" borderId="0" xfId="0" applyNumberFormat="1" applyFont="1" applyAlignment="1">
      <alignment horizontal="right" vertical="center"/>
    </xf>
    <xf numFmtId="169" fontId="5" fillId="0" borderId="0" xfId="0" applyNumberFormat="1" applyFont="1" applyAlignment="1">
      <alignment horizontal="right" vertical="center"/>
    </xf>
    <xf numFmtId="173" fontId="5" fillId="0" borderId="0" xfId="0" applyNumberFormat="1" applyFont="1" applyAlignment="1">
      <alignment horizontal="right" vertical="center"/>
    </xf>
    <xf numFmtId="174" fontId="5" fillId="0" borderId="0" xfId="0" applyNumberFormat="1" applyFont="1" applyAlignment="1">
      <alignment horizontal="right" vertical="center"/>
    </xf>
    <xf numFmtId="172" fontId="5" fillId="0" borderId="0" xfId="0" applyNumberFormat="1" applyFont="1" applyAlignment="1">
      <alignment horizontal="right" vertical="center"/>
    </xf>
    <xf numFmtId="171" fontId="7" fillId="0" borderId="0" xfId="0" applyNumberFormat="1" applyFont="1" applyAlignment="1">
      <alignment horizontal="right" vertical="center"/>
    </xf>
    <xf numFmtId="173" fontId="7" fillId="0" borderId="0" xfId="0" applyNumberFormat="1" applyFont="1" applyAlignment="1">
      <alignment horizontal="right" vertical="center"/>
    </xf>
    <xf numFmtId="0" fontId="3" fillId="0" borderId="0" xfId="0" applyFont="1"/>
    <xf numFmtId="0" fontId="8" fillId="5" borderId="0" xfId="0" applyFont="1" applyFill="1" applyAlignment="1">
      <alignment horizontal="left" vertical="center" wrapText="1"/>
    </xf>
    <xf numFmtId="173" fontId="9" fillId="5" borderId="0" xfId="0" applyNumberFormat="1" applyFont="1" applyFill="1" applyAlignment="1">
      <alignment horizontal="right" vertical="center"/>
    </xf>
    <xf numFmtId="0" fontId="2" fillId="5" borderId="0" xfId="0" applyFont="1" applyFill="1" applyAlignment="1">
      <alignment horizontal="left" vertical="center" wrapText="1"/>
    </xf>
    <xf numFmtId="172" fontId="9" fillId="5" borderId="0" xfId="0" applyNumberFormat="1" applyFont="1" applyFill="1" applyAlignment="1">
      <alignment horizontal="right" vertical="center"/>
    </xf>
    <xf numFmtId="0" fontId="8" fillId="6" borderId="0" xfId="0" applyFont="1" applyFill="1" applyAlignment="1">
      <alignment horizontal="left" vertical="center" wrapText="1"/>
    </xf>
    <xf numFmtId="171" fontId="10" fillId="6" borderId="0" xfId="0" applyNumberFormat="1" applyFont="1" applyFill="1" applyAlignment="1">
      <alignment horizontal="right" vertical="center"/>
    </xf>
    <xf numFmtId="0" fontId="2" fillId="6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173" fontId="11" fillId="7" borderId="0" xfId="0" applyNumberFormat="1" applyFont="1" applyFill="1" applyAlignment="1">
      <alignment horizontal="right" vertical="center"/>
    </xf>
    <xf numFmtId="0" fontId="2" fillId="7" borderId="0" xfId="0" applyFont="1" applyFill="1" applyAlignment="1">
      <alignment horizontal="left" vertical="center" wrapText="1"/>
    </xf>
    <xf numFmtId="171" fontId="9" fillId="5" borderId="0" xfId="0" applyNumberFormat="1" applyFont="1" applyFill="1" applyAlignment="1">
      <alignment horizontal="right" vertical="center"/>
    </xf>
    <xf numFmtId="171" fontId="11" fillId="7" borderId="0" xfId="0" applyNumberFormat="1" applyFont="1" applyFill="1" applyAlignment="1">
      <alignment horizontal="right" vertical="center"/>
    </xf>
    <xf numFmtId="175" fontId="10" fillId="6" borderId="0" xfId="0" applyNumberFormat="1" applyFont="1" applyFill="1" applyAlignment="1">
      <alignment horizontal="right" vertical="center"/>
    </xf>
    <xf numFmtId="0" fontId="12" fillId="8" borderId="0" xfId="0" applyFont="1" applyFill="1"/>
    <xf numFmtId="0" fontId="0" fillId="8" borderId="0" xfId="0" applyFill="1"/>
    <xf numFmtId="171" fontId="13" fillId="0" borderId="0" xfId="0" applyNumberFormat="1" applyFont="1" applyAlignment="1">
      <alignment horizontal="right" vertical="center"/>
    </xf>
    <xf numFmtId="173" fontId="13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3" fontId="13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3" fontId="13" fillId="0" borderId="0" xfId="0" applyNumberFormat="1" applyFont="1" applyAlignment="1">
      <alignment horizontal="center" vertical="center"/>
    </xf>
    <xf numFmtId="0" fontId="7" fillId="9" borderId="0" xfId="0" applyFont="1" applyFill="1"/>
    <xf numFmtId="0" fontId="0" fillId="9" borderId="0" xfId="0" applyFill="1"/>
    <xf numFmtId="171" fontId="7" fillId="9" borderId="0" xfId="0" applyNumberFormat="1" applyFont="1" applyFill="1" applyAlignment="1">
      <alignment horizontal="right" vertical="center"/>
    </xf>
    <xf numFmtId="173" fontId="7" fillId="9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91"/>
      <rgbColor rgb="FF808000"/>
      <rgbColor rgb="FF800080"/>
      <rgbColor rgb="FF008080"/>
      <rgbColor rgb="FFE3E3FD"/>
      <rgbColor rgb="FF808080"/>
      <rgbColor rgb="FF9999FF"/>
      <rgbColor rgb="FF993366"/>
      <rgbColor rgb="FFFFFFE0"/>
      <rgbColor rgb="FFF3FBF6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E"/>
      <rgbColor rgb="FFF5F5F5"/>
      <rgbColor rgb="FFFFF8F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169B62"/>
      <rgbColor rgb="FF003300"/>
      <rgbColor rgb="FF333300"/>
      <rgbColor rgb="FFB340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showGridLines="0" tabSelected="1" zoomScaleNormal="100" workbookViewId="0">
      <selection activeCell="B21" sqref="B21"/>
    </sheetView>
  </sheetViews>
  <sheetFormatPr baseColWidth="10" defaultColWidth="8.6640625" defaultRowHeight="15" x14ac:dyDescent="0.2"/>
  <cols>
    <col min="1" max="1" width="38" customWidth="1"/>
    <col min="2" max="2" width="20" customWidth="1"/>
    <col min="3" max="3" width="55" customWidth="1"/>
  </cols>
  <sheetData>
    <row r="1" spans="1:3" ht="18" x14ac:dyDescent="0.2">
      <c r="A1" s="4" t="s">
        <v>0</v>
      </c>
      <c r="B1" s="4"/>
      <c r="C1" s="4"/>
    </row>
    <row r="2" spans="1:3" x14ac:dyDescent="0.2">
      <c r="A2" s="3" t="s">
        <v>1</v>
      </c>
      <c r="B2" s="3"/>
      <c r="C2" s="3"/>
    </row>
    <row r="4" spans="1:3" ht="19.5" customHeight="1" x14ac:dyDescent="0.2">
      <c r="A4" s="6" t="s">
        <v>2</v>
      </c>
      <c r="B4" s="7"/>
      <c r="C4" s="7"/>
    </row>
    <row r="5" spans="1:3" ht="16" x14ac:dyDescent="0.2">
      <c r="A5" s="8" t="s">
        <v>3</v>
      </c>
      <c r="B5" s="9">
        <v>2</v>
      </c>
      <c r="C5" s="10" t="s">
        <v>4</v>
      </c>
    </row>
    <row r="6" spans="1:3" ht="16" x14ac:dyDescent="0.2">
      <c r="A6" s="8" t="s">
        <v>5</v>
      </c>
      <c r="B6" s="9">
        <v>40000</v>
      </c>
      <c r="C6" s="10" t="s">
        <v>6</v>
      </c>
    </row>
    <row r="7" spans="1:3" ht="16" x14ac:dyDescent="0.2">
      <c r="A7" s="8" t="s">
        <v>7</v>
      </c>
      <c r="B7" s="11" t="s">
        <v>8</v>
      </c>
      <c r="C7" s="10" t="s">
        <v>9</v>
      </c>
    </row>
    <row r="9" spans="1:3" ht="19.5" customHeight="1" x14ac:dyDescent="0.2">
      <c r="A9" s="6" t="s">
        <v>10</v>
      </c>
      <c r="B9" s="7"/>
      <c r="C9" s="7"/>
    </row>
    <row r="10" spans="1:3" ht="16" x14ac:dyDescent="0.2">
      <c r="A10" s="8" t="s">
        <v>11</v>
      </c>
      <c r="B10" s="11" t="s">
        <v>12</v>
      </c>
      <c r="C10" s="10" t="s">
        <v>13</v>
      </c>
    </row>
    <row r="11" spans="1:3" ht="16" x14ac:dyDescent="0.2">
      <c r="A11" s="8" t="s">
        <v>14</v>
      </c>
      <c r="B11" s="11" t="s">
        <v>15</v>
      </c>
      <c r="C11" s="10" t="s">
        <v>16</v>
      </c>
    </row>
    <row r="12" spans="1:3" ht="16" x14ac:dyDescent="0.2">
      <c r="A12" s="8" t="s">
        <v>17</v>
      </c>
      <c r="B12" s="12">
        <v>150</v>
      </c>
      <c r="C12" s="10" t="s">
        <v>18</v>
      </c>
    </row>
    <row r="13" spans="1:3" ht="16" x14ac:dyDescent="0.2">
      <c r="A13" s="8" t="s">
        <v>19</v>
      </c>
      <c r="B13" s="11" t="s">
        <v>101</v>
      </c>
      <c r="C13" s="10" t="s">
        <v>21</v>
      </c>
    </row>
    <row r="14" spans="1:3" ht="16" x14ac:dyDescent="0.2">
      <c r="A14" s="8" t="s">
        <v>22</v>
      </c>
      <c r="B14" s="11" t="s">
        <v>23</v>
      </c>
      <c r="C14" s="10" t="s">
        <v>24</v>
      </c>
    </row>
    <row r="15" spans="1:3" ht="16" x14ac:dyDescent="0.2">
      <c r="A15" s="8" t="s">
        <v>25</v>
      </c>
      <c r="B15" s="11" t="s">
        <v>26</v>
      </c>
      <c r="C15" s="10" t="s">
        <v>27</v>
      </c>
    </row>
    <row r="16" spans="1:3" ht="16" x14ac:dyDescent="0.2">
      <c r="A16" s="8" t="s">
        <v>28</v>
      </c>
      <c r="B16" s="11" t="s">
        <v>29</v>
      </c>
      <c r="C16" s="10" t="s">
        <v>30</v>
      </c>
    </row>
    <row r="18" spans="1:3" ht="19.5" customHeight="1" x14ac:dyDescent="0.2">
      <c r="A18" s="6" t="s">
        <v>31</v>
      </c>
      <c r="B18" s="7"/>
      <c r="C18" s="7"/>
    </row>
    <row r="19" spans="1:3" ht="16" x14ac:dyDescent="0.2">
      <c r="A19" s="8" t="s">
        <v>32</v>
      </c>
      <c r="B19" s="11" t="s">
        <v>407</v>
      </c>
      <c r="C19" s="10" t="s">
        <v>33</v>
      </c>
    </row>
    <row r="20" spans="1:3" ht="16" x14ac:dyDescent="0.2">
      <c r="A20" s="8" t="s">
        <v>34</v>
      </c>
      <c r="B20" s="13">
        <v>20000</v>
      </c>
      <c r="C20" s="10" t="s">
        <v>35</v>
      </c>
    </row>
    <row r="21" spans="1:3" ht="16" x14ac:dyDescent="0.2">
      <c r="A21" s="8" t="s">
        <v>36</v>
      </c>
      <c r="B21" s="11" t="s">
        <v>37</v>
      </c>
      <c r="C21" s="10" t="s">
        <v>38</v>
      </c>
    </row>
    <row r="22" spans="1:3" ht="16" x14ac:dyDescent="0.2">
      <c r="A22" s="8" t="s">
        <v>39</v>
      </c>
      <c r="B22" s="11" t="s">
        <v>40</v>
      </c>
      <c r="C22" s="10" t="s">
        <v>41</v>
      </c>
    </row>
    <row r="23" spans="1:3" ht="16" x14ac:dyDescent="0.2">
      <c r="A23" s="8" t="s">
        <v>42</v>
      </c>
      <c r="B23" s="11" t="s">
        <v>43</v>
      </c>
      <c r="C23" s="10" t="s">
        <v>44</v>
      </c>
    </row>
    <row r="25" spans="1:3" ht="19.5" customHeight="1" x14ac:dyDescent="0.2">
      <c r="A25" s="6" t="s">
        <v>45</v>
      </c>
      <c r="B25" s="7"/>
      <c r="C25" s="7"/>
    </row>
    <row r="26" spans="1:3" ht="16" x14ac:dyDescent="0.2">
      <c r="A26" s="8" t="s">
        <v>46</v>
      </c>
      <c r="B26" s="9">
        <v>20</v>
      </c>
      <c r="C26" s="10" t="s">
        <v>47</v>
      </c>
    </row>
    <row r="28" spans="1:3" ht="19.5" customHeight="1" x14ac:dyDescent="0.2">
      <c r="A28" s="6" t="s">
        <v>48</v>
      </c>
      <c r="B28" s="7"/>
      <c r="C28" s="7"/>
    </row>
    <row r="29" spans="1:3" ht="16" x14ac:dyDescent="0.2">
      <c r="A29" s="8" t="s">
        <v>49</v>
      </c>
      <c r="B29" s="11" t="s">
        <v>50</v>
      </c>
      <c r="C29" s="10" t="s">
        <v>51</v>
      </c>
    </row>
    <row r="30" spans="1:3" ht="16" x14ac:dyDescent="0.2">
      <c r="A30" s="8" t="s">
        <v>52</v>
      </c>
      <c r="B30" s="11" t="s">
        <v>53</v>
      </c>
      <c r="C30" s="10" t="s">
        <v>54</v>
      </c>
    </row>
    <row r="31" spans="1:3" ht="16" x14ac:dyDescent="0.2">
      <c r="A31" s="8" t="s">
        <v>55</v>
      </c>
      <c r="B31" s="11" t="s">
        <v>50</v>
      </c>
      <c r="C31" s="10" t="s">
        <v>56</v>
      </c>
    </row>
    <row r="32" spans="1:3" ht="16" x14ac:dyDescent="0.2">
      <c r="A32" s="8" t="s">
        <v>57</v>
      </c>
      <c r="B32" s="11" t="s">
        <v>53</v>
      </c>
      <c r="C32" s="10" t="s">
        <v>58</v>
      </c>
    </row>
    <row r="34" spans="1:3" ht="19.5" customHeight="1" x14ac:dyDescent="0.2">
      <c r="A34" s="6" t="s">
        <v>59</v>
      </c>
      <c r="B34" s="7"/>
      <c r="C34" s="7"/>
    </row>
    <row r="35" spans="1:3" ht="16" x14ac:dyDescent="0.2">
      <c r="A35" s="8" t="s">
        <v>60</v>
      </c>
      <c r="B35" s="9">
        <v>1</v>
      </c>
      <c r="C35" s="10" t="s">
        <v>61</v>
      </c>
    </row>
    <row r="36" spans="1:3" ht="16" x14ac:dyDescent="0.2">
      <c r="A36" s="8" t="s">
        <v>62</v>
      </c>
      <c r="B36" s="9">
        <v>1</v>
      </c>
    </row>
    <row r="37" spans="1:3" ht="16" x14ac:dyDescent="0.2">
      <c r="A37" s="8" t="s">
        <v>63</v>
      </c>
      <c r="B37" s="9">
        <v>1</v>
      </c>
    </row>
    <row r="38" spans="1:3" ht="16" x14ac:dyDescent="0.2">
      <c r="A38" s="8" t="s">
        <v>64</v>
      </c>
      <c r="B38" s="9">
        <v>1</v>
      </c>
    </row>
  </sheetData>
  <mergeCells count="2">
    <mergeCell ref="A1:C1"/>
    <mergeCell ref="A2:C2"/>
  </mergeCells>
  <dataValidations count="12">
    <dataValidation type="list" sqref="B7" xr:uid="{00000000-0002-0000-0000-000000000000}">
      <formula1>"hors_idf,idf"</formula1>
      <formula2>0</formula2>
    </dataValidation>
    <dataValidation type="list" sqref="B10" xr:uid="{00000000-0002-0000-0000-000001000000}">
      <formula1>"po,pb,loc"</formula1>
      <formula2>0</formula2>
    </dataValidation>
    <dataValidation type="list" sqref="B11" xr:uid="{00000000-0002-0000-0000-000002000000}">
      <formula1>"maison,appt"</formula1>
      <formula2>0</formula2>
    </dataValidation>
    <dataValidation type="list" sqref="B13" xr:uid="{00000000-0002-0000-0000-000003000000}">
      <formula1>"A,B,C,D,E,F,G"</formula1>
      <formula2>0</formula2>
    </dataValidation>
    <dataValidation type="list" sqref="B14" xr:uid="{00000000-0002-0000-0000-000004000000}">
      <formula1>"gaz,fioul,elec,bois"</formula1>
      <formula2>0</formula2>
    </dataValidation>
    <dataValidation type="list" sqref="B15" xr:uid="{00000000-0002-0000-0000-000005000000}">
      <formula1>"meme,ballon_elec,cet"</formula1>
      <formula2>0</formula2>
    </dataValidation>
    <dataValidation type="list" sqref="B16" xr:uid="{00000000-0002-0000-0000-000006000000}">
      <formula1>"pac_aireau,pac_geo,cet_only,reno_ampleur,pv_autoconso,aucun_log"</formula1>
      <formula2>0</formula2>
    </dataValidation>
    <dataValidation type="list" sqref="B19" xr:uid="{00000000-0002-0000-0000-000007000000}">
      <formula1>"essence,diesel,hybride,aucun"</formula1>
      <formula2>0</formula2>
    </dataValidation>
    <dataValidation type="list" sqref="B21" xr:uid="{00000000-0002-0000-0000-000008000000}">
      <formula1>"domicile,mixte,urbain"</formula1>
      <formula2>0</formula2>
    </dataValidation>
    <dataValidation type="list" sqref="B22" xr:uid="{00000000-0002-0000-0000-000009000000}">
      <formula1>"ve_neuf,ve_occ,leasing_social,aucun_mob"</formula1>
      <formula2>0</formula2>
    </dataValidation>
    <dataValidation type="list" sqref="B23" xr:uid="{00000000-0002-0000-0000-00000A000000}">
      <formula1>"oui,copro,non"</formula1>
      <formula2>0</formula2>
    </dataValidation>
    <dataValidation type="list" sqref="B29:B32" xr:uid="{00000000-0002-0000-0000-00000B000000}">
      <formula1>"OUI,NON"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4"/>
  <sheetViews>
    <sheetView showGridLines="0" zoomScaleNormal="100" workbookViewId="0">
      <selection activeCell="D120" sqref="D120"/>
    </sheetView>
  </sheetViews>
  <sheetFormatPr baseColWidth="10" defaultColWidth="8.6640625" defaultRowHeight="15" x14ac:dyDescent="0.2"/>
  <cols>
    <col min="1" max="1" width="42" customWidth="1"/>
    <col min="2" max="2" width="16" customWidth="1"/>
    <col min="3" max="6" width="18" customWidth="1"/>
    <col min="7" max="7" width="55" customWidth="1"/>
  </cols>
  <sheetData>
    <row r="1" spans="1:7" ht="18" x14ac:dyDescent="0.2">
      <c r="A1" s="4" t="s">
        <v>65</v>
      </c>
      <c r="B1" s="4"/>
      <c r="C1" s="4"/>
      <c r="D1" s="4"/>
      <c r="E1" s="4"/>
      <c r="F1" s="4"/>
      <c r="G1" s="4"/>
    </row>
    <row r="2" spans="1:7" x14ac:dyDescent="0.2">
      <c r="A2" s="3" t="s">
        <v>66</v>
      </c>
      <c r="B2" s="3"/>
      <c r="C2" s="3"/>
      <c r="D2" s="3"/>
      <c r="E2" s="3"/>
      <c r="F2" s="3"/>
      <c r="G2" s="3"/>
    </row>
    <row r="4" spans="1:7" ht="19.5" customHeight="1" x14ac:dyDescent="0.2">
      <c r="A4" s="6" t="s">
        <v>67</v>
      </c>
      <c r="B4" s="7"/>
      <c r="C4" s="7"/>
      <c r="D4" s="7"/>
      <c r="E4" s="7"/>
      <c r="F4" s="7"/>
      <c r="G4" s="7"/>
    </row>
    <row r="5" spans="1:7" x14ac:dyDescent="0.2">
      <c r="A5" s="14" t="s">
        <v>68</v>
      </c>
      <c r="B5" s="15">
        <v>0.25159999999999999</v>
      </c>
      <c r="G5" s="10" t="s">
        <v>69</v>
      </c>
    </row>
    <row r="6" spans="1:7" x14ac:dyDescent="0.2">
      <c r="A6" s="14" t="s">
        <v>70</v>
      </c>
      <c r="B6" s="15">
        <v>0.20680000000000001</v>
      </c>
      <c r="G6" s="10" t="s">
        <v>71</v>
      </c>
    </row>
    <row r="7" spans="1:7" x14ac:dyDescent="0.2">
      <c r="A7" s="14" t="s">
        <v>72</v>
      </c>
      <c r="B7" s="15">
        <v>0.1162</v>
      </c>
      <c r="G7" s="10" t="s">
        <v>73</v>
      </c>
    </row>
    <row r="8" spans="1:7" x14ac:dyDescent="0.2">
      <c r="A8" s="14" t="s">
        <v>74</v>
      </c>
      <c r="B8" s="15">
        <v>0.13500000000000001</v>
      </c>
      <c r="G8" s="10" t="s">
        <v>75</v>
      </c>
    </row>
    <row r="9" spans="1:7" x14ac:dyDescent="0.2">
      <c r="A9" s="14" t="s">
        <v>76</v>
      </c>
      <c r="B9" s="15">
        <v>7.4999999999999997E-2</v>
      </c>
      <c r="G9" s="10" t="s">
        <v>77</v>
      </c>
    </row>
    <row r="10" spans="1:7" x14ac:dyDescent="0.2">
      <c r="A10" s="14" t="s">
        <v>78</v>
      </c>
      <c r="B10" s="15">
        <v>1.95</v>
      </c>
      <c r="G10" s="10" t="s">
        <v>79</v>
      </c>
    </row>
    <row r="11" spans="1:7" x14ac:dyDescent="0.2">
      <c r="A11" s="14" t="s">
        <v>80</v>
      </c>
      <c r="B11" s="15">
        <v>1.8</v>
      </c>
      <c r="G11" s="10" t="s">
        <v>79</v>
      </c>
    </row>
    <row r="13" spans="1:7" ht="19.5" customHeight="1" x14ac:dyDescent="0.2">
      <c r="A13" s="6" t="s">
        <v>81</v>
      </c>
      <c r="B13" s="7"/>
      <c r="C13" s="7"/>
      <c r="D13" s="7"/>
      <c r="E13" s="7"/>
      <c r="F13" s="7"/>
      <c r="G13" s="7"/>
    </row>
    <row r="14" spans="1:7" x14ac:dyDescent="0.2">
      <c r="A14" s="14" t="s">
        <v>82</v>
      </c>
      <c r="B14" s="16">
        <v>3.5</v>
      </c>
      <c r="G14" s="10" t="s">
        <v>83</v>
      </c>
    </row>
    <row r="15" spans="1:7" x14ac:dyDescent="0.2">
      <c r="A15" s="14" t="s">
        <v>84</v>
      </c>
      <c r="B15" s="16">
        <v>4.5</v>
      </c>
      <c r="G15" s="10" t="s">
        <v>85</v>
      </c>
    </row>
    <row r="16" spans="1:7" x14ac:dyDescent="0.2">
      <c r="A16" s="14" t="s">
        <v>86</v>
      </c>
      <c r="B16" s="16">
        <v>2.8</v>
      </c>
      <c r="G16" s="10" t="s">
        <v>85</v>
      </c>
    </row>
    <row r="17" spans="1:7" x14ac:dyDescent="0.2">
      <c r="A17" s="14" t="s">
        <v>87</v>
      </c>
      <c r="B17" s="17">
        <v>6.5</v>
      </c>
      <c r="G17" s="10" t="s">
        <v>88</v>
      </c>
    </row>
    <row r="18" spans="1:7" x14ac:dyDescent="0.2">
      <c r="A18" s="14" t="s">
        <v>89</v>
      </c>
      <c r="B18" s="18">
        <v>17</v>
      </c>
      <c r="G18" s="10" t="s">
        <v>88</v>
      </c>
    </row>
    <row r="19" spans="1:7" x14ac:dyDescent="0.2">
      <c r="A19" s="14" t="s">
        <v>90</v>
      </c>
      <c r="B19" s="19">
        <v>1200</v>
      </c>
      <c r="G19" s="10" t="s">
        <v>91</v>
      </c>
    </row>
    <row r="21" spans="1:7" ht="19.5" customHeight="1" x14ac:dyDescent="0.2">
      <c r="A21" s="6" t="s">
        <v>92</v>
      </c>
      <c r="B21" s="7"/>
      <c r="C21" s="7"/>
      <c r="D21" s="7"/>
      <c r="E21" s="7"/>
      <c r="F21" s="7"/>
      <c r="G21" s="7"/>
    </row>
    <row r="22" spans="1:7" x14ac:dyDescent="0.2">
      <c r="A22" s="20" t="s">
        <v>93</v>
      </c>
      <c r="B22" s="20" t="s">
        <v>94</v>
      </c>
    </row>
    <row r="23" spans="1:7" x14ac:dyDescent="0.2">
      <c r="A23" s="21" t="s">
        <v>95</v>
      </c>
      <c r="B23" s="22">
        <v>50</v>
      </c>
      <c r="G23" s="5" t="s">
        <v>96</v>
      </c>
    </row>
    <row r="24" spans="1:7" x14ac:dyDescent="0.2">
      <c r="A24" s="21" t="s">
        <v>97</v>
      </c>
      <c r="B24" s="22">
        <v>90</v>
      </c>
    </row>
    <row r="25" spans="1:7" x14ac:dyDescent="0.2">
      <c r="A25" s="21" t="s">
        <v>98</v>
      </c>
      <c r="B25" s="22">
        <v>150</v>
      </c>
    </row>
    <row r="26" spans="1:7" x14ac:dyDescent="0.2">
      <c r="A26" s="21" t="s">
        <v>99</v>
      </c>
      <c r="B26" s="22">
        <v>230</v>
      </c>
    </row>
    <row r="27" spans="1:7" x14ac:dyDescent="0.2">
      <c r="A27" s="21" t="s">
        <v>20</v>
      </c>
      <c r="B27" s="22">
        <v>330</v>
      </c>
    </row>
    <row r="28" spans="1:7" x14ac:dyDescent="0.2">
      <c r="A28" s="21" t="s">
        <v>100</v>
      </c>
      <c r="B28" s="22">
        <v>450</v>
      </c>
    </row>
    <row r="29" spans="1:7" x14ac:dyDescent="0.2">
      <c r="A29" s="21" t="s">
        <v>101</v>
      </c>
      <c r="B29" s="22">
        <v>600</v>
      </c>
    </row>
    <row r="31" spans="1:7" ht="19.5" customHeight="1" x14ac:dyDescent="0.2">
      <c r="A31" s="6" t="s">
        <v>102</v>
      </c>
      <c r="B31" s="7"/>
      <c r="C31" s="7"/>
      <c r="D31" s="7"/>
      <c r="E31" s="7"/>
      <c r="F31" s="7"/>
      <c r="G31" s="7"/>
    </row>
    <row r="32" spans="1:7" x14ac:dyDescent="0.2">
      <c r="A32" s="14" t="s">
        <v>103</v>
      </c>
      <c r="B32" s="23">
        <v>14000</v>
      </c>
      <c r="G32" s="10" t="s">
        <v>104</v>
      </c>
    </row>
    <row r="33" spans="1:7" x14ac:dyDescent="0.2">
      <c r="A33" s="14" t="s">
        <v>105</v>
      </c>
      <c r="B33" s="23">
        <v>22000</v>
      </c>
      <c r="G33" s="10" t="s">
        <v>106</v>
      </c>
    </row>
    <row r="34" spans="1:7" x14ac:dyDescent="0.2">
      <c r="A34" s="14" t="s">
        <v>107</v>
      </c>
      <c r="B34" s="23">
        <v>3500</v>
      </c>
      <c r="G34" s="10" t="s">
        <v>106</v>
      </c>
    </row>
    <row r="35" spans="1:7" x14ac:dyDescent="0.2">
      <c r="A35" s="14" t="s">
        <v>108</v>
      </c>
      <c r="B35" s="23">
        <v>45000</v>
      </c>
      <c r="G35" s="10" t="s">
        <v>109</v>
      </c>
    </row>
    <row r="36" spans="1:7" x14ac:dyDescent="0.2">
      <c r="A36" s="14" t="s">
        <v>110</v>
      </c>
      <c r="B36" s="23">
        <v>9000</v>
      </c>
      <c r="G36" s="10" t="s">
        <v>106</v>
      </c>
    </row>
    <row r="38" spans="1:7" ht="19.5" customHeight="1" x14ac:dyDescent="0.2">
      <c r="A38" s="6" t="s">
        <v>111</v>
      </c>
      <c r="B38" s="7"/>
      <c r="C38" s="7"/>
      <c r="D38" s="7"/>
      <c r="E38" s="7"/>
      <c r="F38" s="7"/>
      <c r="G38" s="7"/>
    </row>
    <row r="39" spans="1:7" x14ac:dyDescent="0.2">
      <c r="A39" s="14" t="s">
        <v>112</v>
      </c>
      <c r="B39" s="23">
        <v>32000</v>
      </c>
      <c r="G39" s="10" t="s">
        <v>113</v>
      </c>
    </row>
    <row r="40" spans="1:7" x14ac:dyDescent="0.2">
      <c r="A40" s="14" t="s">
        <v>114</v>
      </c>
      <c r="B40" s="23">
        <v>23000</v>
      </c>
      <c r="G40" s="10" t="s">
        <v>113</v>
      </c>
    </row>
    <row r="41" spans="1:7" ht="16" x14ac:dyDescent="0.2">
      <c r="A41" s="8" t="s">
        <v>115</v>
      </c>
      <c r="B41" s="24">
        <f>Hypothèses!$B$39-Hypothèses!$B$40</f>
        <v>9000</v>
      </c>
      <c r="G41" s="5" t="s">
        <v>116</v>
      </c>
    </row>
    <row r="42" spans="1:7" x14ac:dyDescent="0.2">
      <c r="A42" s="14" t="s">
        <v>117</v>
      </c>
      <c r="B42" s="23">
        <v>1500</v>
      </c>
      <c r="G42" s="10" t="s">
        <v>118</v>
      </c>
    </row>
    <row r="43" spans="1:7" x14ac:dyDescent="0.2">
      <c r="A43" s="14" t="s">
        <v>119</v>
      </c>
      <c r="B43" s="23">
        <v>1500</v>
      </c>
      <c r="G43" s="10" t="s">
        <v>120</v>
      </c>
    </row>
    <row r="44" spans="1:7" x14ac:dyDescent="0.2">
      <c r="A44" s="14" t="s">
        <v>121</v>
      </c>
      <c r="B44" s="23">
        <v>2400</v>
      </c>
      <c r="G44" s="10" t="s">
        <v>122</v>
      </c>
    </row>
    <row r="46" spans="1:7" ht="19.5" customHeight="1" x14ac:dyDescent="0.2">
      <c r="A46" s="6" t="s">
        <v>42</v>
      </c>
      <c r="B46" s="7"/>
      <c r="C46" s="7"/>
      <c r="D46" s="7"/>
      <c r="E46" s="7"/>
      <c r="F46" s="7"/>
      <c r="G46" s="7"/>
    </row>
    <row r="47" spans="1:7" x14ac:dyDescent="0.2">
      <c r="A47" s="14" t="s">
        <v>123</v>
      </c>
      <c r="B47" s="23">
        <v>1200</v>
      </c>
      <c r="G47" s="10" t="s">
        <v>124</v>
      </c>
    </row>
    <row r="48" spans="1:7" x14ac:dyDescent="0.2">
      <c r="A48" s="14" t="s">
        <v>125</v>
      </c>
      <c r="B48" s="25">
        <v>0.75</v>
      </c>
      <c r="G48" s="10" t="s">
        <v>126</v>
      </c>
    </row>
    <row r="49" spans="1:7" x14ac:dyDescent="0.2">
      <c r="A49" s="14" t="s">
        <v>127</v>
      </c>
      <c r="B49" s="23">
        <v>500</v>
      </c>
      <c r="G49" s="10" t="s">
        <v>126</v>
      </c>
    </row>
    <row r="50" spans="1:7" x14ac:dyDescent="0.2">
      <c r="A50" s="14" t="s">
        <v>128</v>
      </c>
      <c r="B50" s="23">
        <v>1200</v>
      </c>
      <c r="G50" s="10" t="s">
        <v>129</v>
      </c>
    </row>
    <row r="52" spans="1:7" ht="19.5" customHeight="1" x14ac:dyDescent="0.2">
      <c r="A52" s="6" t="s">
        <v>130</v>
      </c>
      <c r="B52" s="7"/>
      <c r="C52" s="7"/>
      <c r="D52" s="7"/>
      <c r="E52" s="7"/>
      <c r="F52" s="7"/>
      <c r="G52" s="7"/>
    </row>
    <row r="53" spans="1:7" x14ac:dyDescent="0.2">
      <c r="A53" s="14" t="s">
        <v>131</v>
      </c>
      <c r="B53" s="23">
        <v>230</v>
      </c>
      <c r="G53" s="10" t="s">
        <v>132</v>
      </c>
    </row>
    <row r="54" spans="1:7" x14ac:dyDescent="0.2">
      <c r="A54" s="14" t="s">
        <v>133</v>
      </c>
      <c r="B54" s="23">
        <v>170</v>
      </c>
      <c r="G54" s="10" t="s">
        <v>132</v>
      </c>
    </row>
    <row r="55" spans="1:7" x14ac:dyDescent="0.2">
      <c r="A55" s="14" t="s">
        <v>134</v>
      </c>
      <c r="B55" s="15">
        <v>0.13</v>
      </c>
      <c r="G55" s="10" t="s">
        <v>135</v>
      </c>
    </row>
    <row r="56" spans="1:7" x14ac:dyDescent="0.2">
      <c r="A56" s="14" t="s">
        <v>136</v>
      </c>
      <c r="B56" s="26">
        <v>1100</v>
      </c>
      <c r="G56" s="10" t="s">
        <v>137</v>
      </c>
    </row>
    <row r="57" spans="1:7" x14ac:dyDescent="0.2">
      <c r="A57" s="14" t="s">
        <v>138</v>
      </c>
      <c r="B57" s="26">
        <v>3</v>
      </c>
      <c r="G57" s="10" t="s">
        <v>139</v>
      </c>
    </row>
    <row r="58" spans="1:7" x14ac:dyDescent="0.2">
      <c r="A58" s="14" t="s">
        <v>140</v>
      </c>
      <c r="B58" s="25">
        <v>0.7</v>
      </c>
      <c r="G58" s="10" t="s">
        <v>91</v>
      </c>
    </row>
    <row r="60" spans="1:7" ht="19.5" customHeight="1" x14ac:dyDescent="0.2">
      <c r="A60" s="6" t="s">
        <v>141</v>
      </c>
      <c r="B60" s="7"/>
      <c r="C60" s="7"/>
      <c r="D60" s="7"/>
      <c r="E60" s="7"/>
      <c r="F60" s="7"/>
      <c r="G60" s="7"/>
    </row>
    <row r="61" spans="1:7" x14ac:dyDescent="0.2">
      <c r="A61" s="20" t="s">
        <v>142</v>
      </c>
      <c r="B61" s="20" t="s">
        <v>103</v>
      </c>
      <c r="C61" s="20" t="s">
        <v>143</v>
      </c>
      <c r="D61" s="20" t="s">
        <v>144</v>
      </c>
    </row>
    <row r="62" spans="1:7" x14ac:dyDescent="0.2">
      <c r="A62" s="27" t="s">
        <v>145</v>
      </c>
      <c r="B62" s="23">
        <v>5000</v>
      </c>
      <c r="C62" s="23">
        <v>11000</v>
      </c>
      <c r="D62" s="23">
        <v>1200</v>
      </c>
    </row>
    <row r="63" spans="1:7" x14ac:dyDescent="0.2">
      <c r="A63" s="27" t="s">
        <v>146</v>
      </c>
      <c r="B63" s="23">
        <v>4000</v>
      </c>
      <c r="C63" s="23">
        <v>9000</v>
      </c>
      <c r="D63" s="23">
        <v>800</v>
      </c>
    </row>
    <row r="64" spans="1:7" x14ac:dyDescent="0.2">
      <c r="A64" s="27" t="s">
        <v>147</v>
      </c>
      <c r="B64" s="23">
        <v>3000</v>
      </c>
      <c r="C64" s="23">
        <v>6000</v>
      </c>
      <c r="D64" s="23">
        <v>400</v>
      </c>
    </row>
    <row r="65" spans="1:7" x14ac:dyDescent="0.2">
      <c r="A65" s="27" t="s">
        <v>148</v>
      </c>
      <c r="B65" s="23">
        <v>0</v>
      </c>
      <c r="C65" s="23">
        <v>0</v>
      </c>
      <c r="D65" s="23">
        <v>0</v>
      </c>
    </row>
    <row r="66" spans="1:7" x14ac:dyDescent="0.2">
      <c r="A66" s="5" t="s">
        <v>149</v>
      </c>
    </row>
    <row r="68" spans="1:7" ht="19.5" customHeight="1" x14ac:dyDescent="0.2">
      <c r="A68" s="6" t="s">
        <v>150</v>
      </c>
      <c r="B68" s="7"/>
      <c r="C68" s="7"/>
      <c r="D68" s="7"/>
      <c r="E68" s="7"/>
      <c r="F68" s="7"/>
      <c r="G68" s="7"/>
    </row>
    <row r="69" spans="1:7" x14ac:dyDescent="0.2">
      <c r="A69" s="14" t="s">
        <v>151</v>
      </c>
      <c r="B69" s="23">
        <v>12000</v>
      </c>
      <c r="G69" s="10" t="s">
        <v>152</v>
      </c>
    </row>
    <row r="70" spans="1:7" x14ac:dyDescent="0.2">
      <c r="A70" s="14" t="s">
        <v>153</v>
      </c>
      <c r="B70" s="23">
        <v>20000</v>
      </c>
      <c r="G70" s="10" t="s">
        <v>152</v>
      </c>
    </row>
    <row r="71" spans="1:7" x14ac:dyDescent="0.2">
      <c r="A71" s="14" t="s">
        <v>154</v>
      </c>
      <c r="B71" s="23">
        <v>3500</v>
      </c>
      <c r="G71" s="10" t="s">
        <v>152</v>
      </c>
    </row>
    <row r="73" spans="1:7" ht="19.5" customHeight="1" x14ac:dyDescent="0.2">
      <c r="A73" s="6" t="s">
        <v>155</v>
      </c>
      <c r="B73" s="7"/>
      <c r="C73" s="7"/>
      <c r="D73" s="7"/>
      <c r="E73" s="7"/>
      <c r="F73" s="7"/>
      <c r="G73" s="7"/>
    </row>
    <row r="74" spans="1:7" x14ac:dyDescent="0.2">
      <c r="A74" s="20" t="s">
        <v>142</v>
      </c>
      <c r="B74" s="20" t="s">
        <v>156</v>
      </c>
      <c r="C74" s="20" t="s">
        <v>157</v>
      </c>
      <c r="D74" s="20" t="s">
        <v>158</v>
      </c>
      <c r="E74" s="20" t="s">
        <v>159</v>
      </c>
    </row>
    <row r="75" spans="1:7" x14ac:dyDescent="0.2">
      <c r="A75" s="27" t="s">
        <v>145</v>
      </c>
      <c r="B75" s="23">
        <v>5000</v>
      </c>
      <c r="C75" s="23">
        <v>1000</v>
      </c>
      <c r="D75" s="23">
        <v>500</v>
      </c>
      <c r="E75" s="23">
        <v>1000</v>
      </c>
    </row>
    <row r="76" spans="1:7" x14ac:dyDescent="0.2">
      <c r="A76" s="27" t="s">
        <v>146</v>
      </c>
      <c r="B76" s="23">
        <v>5000</v>
      </c>
      <c r="C76" s="23">
        <v>1000</v>
      </c>
      <c r="D76" s="23">
        <v>500</v>
      </c>
      <c r="E76" s="23">
        <v>1000</v>
      </c>
    </row>
    <row r="77" spans="1:7" x14ac:dyDescent="0.2">
      <c r="A77" s="27" t="s">
        <v>147</v>
      </c>
      <c r="B77" s="23">
        <v>4000</v>
      </c>
      <c r="C77" s="23">
        <v>800</v>
      </c>
      <c r="D77" s="23">
        <v>400</v>
      </c>
      <c r="E77" s="23">
        <v>800</v>
      </c>
    </row>
    <row r="78" spans="1:7" x14ac:dyDescent="0.2">
      <c r="A78" s="27" t="s">
        <v>148</v>
      </c>
      <c r="B78" s="23">
        <v>2500</v>
      </c>
      <c r="C78" s="23">
        <v>500</v>
      </c>
      <c r="D78" s="23">
        <v>300</v>
      </c>
      <c r="E78" s="23">
        <v>600</v>
      </c>
    </row>
    <row r="79" spans="1:7" x14ac:dyDescent="0.2">
      <c r="A79" s="5" t="s">
        <v>160</v>
      </c>
    </row>
    <row r="81" spans="1:7" ht="19.5" customHeight="1" x14ac:dyDescent="0.2">
      <c r="A81" s="6" t="s">
        <v>161</v>
      </c>
      <c r="B81" s="7"/>
      <c r="C81" s="7"/>
      <c r="D81" s="7"/>
      <c r="E81" s="7"/>
      <c r="F81" s="7"/>
      <c r="G81" s="7"/>
    </row>
    <row r="82" spans="1:7" x14ac:dyDescent="0.2">
      <c r="A82" s="20" t="s">
        <v>162</v>
      </c>
      <c r="B82" s="20" t="s">
        <v>163</v>
      </c>
    </row>
    <row r="83" spans="1:7" x14ac:dyDescent="0.2">
      <c r="A83" s="28">
        <v>2</v>
      </c>
      <c r="B83" s="23">
        <v>40000</v>
      </c>
    </row>
    <row r="84" spans="1:7" x14ac:dyDescent="0.2">
      <c r="A84" s="28">
        <v>3</v>
      </c>
      <c r="B84" s="23">
        <v>55000</v>
      </c>
    </row>
    <row r="85" spans="1:7" x14ac:dyDescent="0.2">
      <c r="A85" s="28">
        <v>4</v>
      </c>
      <c r="B85" s="23">
        <v>70000</v>
      </c>
    </row>
    <row r="87" spans="1:7" x14ac:dyDescent="0.2">
      <c r="A87" s="27" t="s">
        <v>164</v>
      </c>
    </row>
    <row r="88" spans="1:7" x14ac:dyDescent="0.2">
      <c r="A88" s="20" t="s">
        <v>142</v>
      </c>
      <c r="B88" s="20" t="s">
        <v>165</v>
      </c>
      <c r="C88" s="20" t="s">
        <v>166</v>
      </c>
      <c r="D88" s="20" t="s">
        <v>167</v>
      </c>
    </row>
    <row r="89" spans="1:7" x14ac:dyDescent="0.2">
      <c r="A89" s="27" t="s">
        <v>145</v>
      </c>
      <c r="B89" s="25">
        <v>0.8</v>
      </c>
      <c r="C89" s="25">
        <v>0.8</v>
      </c>
      <c r="D89" s="25">
        <v>0.8</v>
      </c>
    </row>
    <row r="90" spans="1:7" x14ac:dyDescent="0.2">
      <c r="A90" s="27" t="s">
        <v>146</v>
      </c>
      <c r="B90" s="25">
        <v>0.6</v>
      </c>
      <c r="C90" s="25">
        <v>0.6</v>
      </c>
      <c r="D90" s="25">
        <v>0.6</v>
      </c>
    </row>
    <row r="91" spans="1:7" x14ac:dyDescent="0.2">
      <c r="A91" s="27" t="s">
        <v>147</v>
      </c>
      <c r="B91" s="25">
        <v>0.45</v>
      </c>
      <c r="C91" s="25">
        <v>0.5</v>
      </c>
      <c r="D91" s="25">
        <v>0.55000000000000004</v>
      </c>
    </row>
    <row r="92" spans="1:7" x14ac:dyDescent="0.2">
      <c r="A92" s="27" t="s">
        <v>148</v>
      </c>
      <c r="B92" s="25">
        <v>0.3</v>
      </c>
      <c r="C92" s="25">
        <v>0.35</v>
      </c>
      <c r="D92" s="25">
        <v>0.4</v>
      </c>
    </row>
    <row r="94" spans="1:7" x14ac:dyDescent="0.2">
      <c r="A94" s="14" t="s">
        <v>168</v>
      </c>
      <c r="B94" s="23">
        <v>10000</v>
      </c>
      <c r="G94" s="10" t="s">
        <v>169</v>
      </c>
    </row>
    <row r="95" spans="1:7" x14ac:dyDescent="0.2">
      <c r="A95" s="14" t="s">
        <v>170</v>
      </c>
      <c r="B95" s="26">
        <v>2</v>
      </c>
      <c r="G95" s="10" t="s">
        <v>171</v>
      </c>
    </row>
    <row r="96" spans="1:7" x14ac:dyDescent="0.2">
      <c r="A96" s="14" t="s">
        <v>172</v>
      </c>
      <c r="B96" s="25">
        <v>0.55000000000000004</v>
      </c>
      <c r="G96" s="10" t="s">
        <v>173</v>
      </c>
    </row>
    <row r="98" spans="1:7" ht="19.5" customHeight="1" x14ac:dyDescent="0.2">
      <c r="A98" s="6" t="s">
        <v>174</v>
      </c>
      <c r="B98" s="7"/>
      <c r="C98" s="7"/>
      <c r="D98" s="7"/>
      <c r="E98" s="7"/>
      <c r="F98" s="7"/>
      <c r="G98" s="7"/>
    </row>
    <row r="99" spans="1:7" x14ac:dyDescent="0.2">
      <c r="A99" s="20" t="s">
        <v>175</v>
      </c>
      <c r="B99" s="20" t="s">
        <v>176</v>
      </c>
    </row>
    <row r="100" spans="1:7" x14ac:dyDescent="0.2">
      <c r="A100" s="26">
        <v>7100</v>
      </c>
      <c r="B100" s="23">
        <v>4000</v>
      </c>
    </row>
    <row r="101" spans="1:7" x14ac:dyDescent="0.2">
      <c r="A101" s="26">
        <v>15400</v>
      </c>
      <c r="B101" s="23">
        <v>3000</v>
      </c>
    </row>
    <row r="102" spans="1:7" x14ac:dyDescent="0.2">
      <c r="A102" s="26">
        <v>26200</v>
      </c>
      <c r="B102" s="23">
        <v>2000</v>
      </c>
    </row>
    <row r="103" spans="1:7" x14ac:dyDescent="0.2">
      <c r="A103" s="26">
        <v>999999</v>
      </c>
      <c r="B103" s="23">
        <v>1000</v>
      </c>
    </row>
    <row r="104" spans="1:7" x14ac:dyDescent="0.2">
      <c r="A104" s="5" t="s">
        <v>177</v>
      </c>
    </row>
    <row r="106" spans="1:7" ht="19.5" customHeight="1" x14ac:dyDescent="0.2">
      <c r="A106" s="6" t="s">
        <v>178</v>
      </c>
      <c r="B106" s="7"/>
      <c r="C106" s="7"/>
      <c r="D106" s="7"/>
      <c r="E106" s="7"/>
      <c r="F106" s="7"/>
      <c r="G106" s="7"/>
    </row>
    <row r="107" spans="1:7" x14ac:dyDescent="0.2">
      <c r="A107" s="20" t="s">
        <v>179</v>
      </c>
      <c r="B107" s="20" t="s">
        <v>180</v>
      </c>
      <c r="C107" s="20" t="s">
        <v>181</v>
      </c>
      <c r="D107" s="20" t="s">
        <v>182</v>
      </c>
    </row>
    <row r="108" spans="1:7" x14ac:dyDescent="0.2">
      <c r="A108" s="28">
        <v>1</v>
      </c>
      <c r="B108" s="26">
        <v>17009</v>
      </c>
      <c r="C108" s="26">
        <v>21805</v>
      </c>
      <c r="D108" s="26">
        <v>30549</v>
      </c>
    </row>
    <row r="109" spans="1:7" x14ac:dyDescent="0.2">
      <c r="A109" s="28">
        <v>2</v>
      </c>
      <c r="B109" s="26">
        <v>24875</v>
      </c>
      <c r="C109" s="26">
        <v>31889</v>
      </c>
      <c r="D109" s="26">
        <v>44907</v>
      </c>
    </row>
    <row r="110" spans="1:7" x14ac:dyDescent="0.2">
      <c r="A110" s="28">
        <v>3</v>
      </c>
      <c r="B110" s="26">
        <v>29917</v>
      </c>
      <c r="C110" s="26">
        <v>38349</v>
      </c>
      <c r="D110" s="26">
        <v>54071</v>
      </c>
    </row>
    <row r="111" spans="1:7" x14ac:dyDescent="0.2">
      <c r="A111" s="28">
        <v>4</v>
      </c>
      <c r="B111" s="26">
        <v>34948</v>
      </c>
      <c r="C111" s="26">
        <v>44802</v>
      </c>
      <c r="D111" s="26">
        <v>63235</v>
      </c>
    </row>
    <row r="112" spans="1:7" x14ac:dyDescent="0.2">
      <c r="A112" s="28">
        <v>5</v>
      </c>
      <c r="B112" s="26">
        <v>39987</v>
      </c>
      <c r="C112" s="26">
        <v>51281</v>
      </c>
      <c r="D112" s="26">
        <v>72400</v>
      </c>
    </row>
    <row r="113" spans="1:7" x14ac:dyDescent="0.2">
      <c r="A113" s="28">
        <v>6</v>
      </c>
      <c r="B113" s="26">
        <v>45026</v>
      </c>
      <c r="C113" s="26">
        <v>57760</v>
      </c>
      <c r="D113" s="26">
        <v>81565</v>
      </c>
    </row>
    <row r="115" spans="1:7" ht="19.5" customHeight="1" x14ac:dyDescent="0.2">
      <c r="A115" s="6" t="s">
        <v>183</v>
      </c>
      <c r="B115" s="7"/>
      <c r="C115" s="7"/>
      <c r="D115" s="7"/>
      <c r="E115" s="7"/>
      <c r="F115" s="7"/>
      <c r="G115" s="7"/>
    </row>
    <row r="116" spans="1:7" x14ac:dyDescent="0.2">
      <c r="A116" s="20" t="s">
        <v>179</v>
      </c>
      <c r="B116" s="20" t="s">
        <v>184</v>
      </c>
      <c r="C116" s="20" t="s">
        <v>185</v>
      </c>
      <c r="D116" s="20" t="s">
        <v>186</v>
      </c>
    </row>
    <row r="117" spans="1:7" x14ac:dyDescent="0.2">
      <c r="A117" s="28">
        <v>1</v>
      </c>
      <c r="B117" s="26">
        <v>23541</v>
      </c>
      <c r="C117" s="26">
        <v>28657</v>
      </c>
      <c r="D117" s="26">
        <v>40018</v>
      </c>
    </row>
    <row r="118" spans="1:7" x14ac:dyDescent="0.2">
      <c r="A118" s="28">
        <v>2</v>
      </c>
      <c r="B118" s="26">
        <v>34551</v>
      </c>
      <c r="C118" s="26">
        <v>42058</v>
      </c>
      <c r="D118" s="26">
        <v>58827</v>
      </c>
    </row>
    <row r="119" spans="1:7" x14ac:dyDescent="0.2">
      <c r="A119" s="28">
        <v>3</v>
      </c>
      <c r="B119" s="26">
        <v>41493</v>
      </c>
      <c r="C119" s="26">
        <v>50513</v>
      </c>
      <c r="D119" s="26">
        <v>70382</v>
      </c>
    </row>
    <row r="120" spans="1:7" x14ac:dyDescent="0.2">
      <c r="A120" s="28">
        <v>4</v>
      </c>
      <c r="B120" s="26">
        <v>48447</v>
      </c>
      <c r="C120" s="26">
        <v>58981</v>
      </c>
      <c r="D120" s="26">
        <v>82839</v>
      </c>
    </row>
    <row r="121" spans="1:7" x14ac:dyDescent="0.2">
      <c r="A121" s="28">
        <v>5</v>
      </c>
      <c r="B121" s="26">
        <v>55427</v>
      </c>
      <c r="C121" s="26">
        <v>67473</v>
      </c>
      <c r="D121" s="26">
        <v>94844</v>
      </c>
    </row>
    <row r="122" spans="1:7" x14ac:dyDescent="0.2">
      <c r="A122" s="28">
        <v>6</v>
      </c>
      <c r="B122" s="26">
        <v>62407</v>
      </c>
      <c r="C122" s="26">
        <v>75965</v>
      </c>
      <c r="D122" s="26">
        <v>106848</v>
      </c>
    </row>
    <row r="124" spans="1:7" x14ac:dyDescent="0.2">
      <c r="A124" s="14" t="s">
        <v>187</v>
      </c>
      <c r="B124" s="25">
        <v>0.9</v>
      </c>
      <c r="G124" s="10" t="s">
        <v>188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2"/>
  <sheetViews>
    <sheetView showGridLines="0" zoomScaleNormal="100" workbookViewId="0">
      <selection activeCell="B7" sqref="B7"/>
    </sheetView>
  </sheetViews>
  <sheetFormatPr baseColWidth="10" defaultColWidth="8.6640625" defaultRowHeight="15" x14ac:dyDescent="0.2"/>
  <cols>
    <col min="1" max="1" width="45" customWidth="1"/>
    <col min="2" max="2" width="18" customWidth="1"/>
    <col min="3" max="3" width="60" customWidth="1"/>
  </cols>
  <sheetData>
    <row r="1" spans="1:3" ht="18" x14ac:dyDescent="0.2">
      <c r="A1" s="4" t="s">
        <v>189</v>
      </c>
      <c r="B1" s="4"/>
      <c r="C1" s="4"/>
    </row>
    <row r="2" spans="1:3" x14ac:dyDescent="0.2">
      <c r="A2" s="3" t="s">
        <v>190</v>
      </c>
      <c r="B2" s="3"/>
      <c r="C2" s="3"/>
    </row>
    <row r="4" spans="1:3" ht="19.5" customHeight="1" x14ac:dyDescent="0.2">
      <c r="A4" s="6" t="s">
        <v>191</v>
      </c>
      <c r="B4" s="7"/>
      <c r="C4" s="7"/>
    </row>
    <row r="5" spans="1:3" ht="16" x14ac:dyDescent="0.2">
      <c r="A5" s="8" t="s">
        <v>192</v>
      </c>
      <c r="B5" s="29">
        <f>MIN(MAX(Saisies!$B$5,1),6)</f>
        <v>2</v>
      </c>
      <c r="C5" s="10" t="s">
        <v>193</v>
      </c>
    </row>
    <row r="6" spans="1:3" ht="16" x14ac:dyDescent="0.2">
      <c r="A6" s="8" t="s">
        <v>194</v>
      </c>
      <c r="B6" s="29">
        <f>IF(Saisies!$B$7="idf",INDEX(Hypothèses!$A$117:$D$122,Calculs!$B$5,2),INDEX(Hypothèses!$A$108:$D$113,Calculs!$B$5,2))</f>
        <v>24875</v>
      </c>
      <c r="C6" s="10" t="s">
        <v>195</v>
      </c>
    </row>
    <row r="7" spans="1:3" ht="16" x14ac:dyDescent="0.2">
      <c r="A7" s="8" t="s">
        <v>196</v>
      </c>
      <c r="B7" s="29">
        <f>IF(Saisies!$B$7="idf",INDEX(Hypothèses!$A$117:$D$122,Calculs!$B$5,3),INDEX(Hypothèses!$A$108:$D$113,Calculs!$B$5,3))</f>
        <v>31889</v>
      </c>
    </row>
    <row r="8" spans="1:3" ht="16" x14ac:dyDescent="0.2">
      <c r="A8" s="8" t="s">
        <v>197</v>
      </c>
      <c r="B8" s="29">
        <f>IF(Saisies!$B$7="idf",INDEX(Hypothèses!$A$117:$D$122,Calculs!$B$5,4),INDEX(Hypothèses!$A$108:$D$113,Calculs!$B$5,4))</f>
        <v>44907</v>
      </c>
    </row>
    <row r="9" spans="1:3" ht="16" x14ac:dyDescent="0.2">
      <c r="A9" s="8" t="s">
        <v>142</v>
      </c>
      <c r="B9" s="30" t="str">
        <f>IF(Saisies!$B$6&lt;=Calculs!$B$6,"bleu",IF(Saisies!$B$6&lt;=Calculs!$B$7,"jaune",IF(Saisies!$B$6&lt;=Calculs!$B$8,"violet","rose")))</f>
        <v>violet</v>
      </c>
      <c r="C9" s="10" t="s">
        <v>198</v>
      </c>
    </row>
    <row r="10" spans="1:3" ht="16" x14ac:dyDescent="0.2">
      <c r="A10" s="8" t="s">
        <v>199</v>
      </c>
      <c r="B10" s="29">
        <f>MATCH(Calculs!$B$9,{"bleu","jaune","violet","rose"},0)</f>
        <v>3</v>
      </c>
      <c r="C10" s="10" t="s">
        <v>200</v>
      </c>
    </row>
    <row r="11" spans="1:3" ht="16" x14ac:dyDescent="0.2">
      <c r="A11" s="8" t="s">
        <v>201</v>
      </c>
      <c r="B11" s="31">
        <f>IF(Saisies!$B$5&lt;=1,1,IF(Saisies!$B$5=2,2,2+(Saisies!$B$5-2)*0.5))</f>
        <v>2</v>
      </c>
      <c r="C11" s="10" t="s">
        <v>202</v>
      </c>
    </row>
    <row r="12" spans="1:3" ht="16" x14ac:dyDescent="0.2">
      <c r="A12" s="8" t="s">
        <v>203</v>
      </c>
      <c r="B12" s="29">
        <f>Saisies!$B$6/Calculs!$B$11</f>
        <v>20000</v>
      </c>
      <c r="C12" s="10" t="s">
        <v>204</v>
      </c>
    </row>
    <row r="13" spans="1:3" ht="16" x14ac:dyDescent="0.2">
      <c r="A13" s="8" t="s">
        <v>205</v>
      </c>
      <c r="B13" s="24">
        <f>INDEX(Hypothèses!$A$100:$B$103,IFERROR(MATCH(Calculs!$B$12,INDEX(Hypothèses!$A$100:$B$103,,1),1),0)+1,2)</f>
        <v>2000</v>
      </c>
      <c r="C13" s="10" t="s">
        <v>206</v>
      </c>
    </row>
    <row r="15" spans="1:3" ht="19.5" customHeight="1" x14ac:dyDescent="0.2">
      <c r="A15" s="6" t="s">
        <v>207</v>
      </c>
      <c r="B15" s="7"/>
      <c r="C15" s="7"/>
    </row>
    <row r="16" spans="1:3" ht="16" x14ac:dyDescent="0.2">
      <c r="A16" s="8" t="s">
        <v>208</v>
      </c>
      <c r="B16" s="32">
        <f>IF(Saisies!$B$14="gaz",Hypothèses!$B$7,IF(Saisies!$B$14="fioul",Hypothèses!$B$8,IF(Saisies!$B$14="bois",Hypothèses!$B$9,Hypothèses!$B$5)))</f>
        <v>0.1162</v>
      </c>
      <c r="C16" s="10" t="s">
        <v>209</v>
      </c>
    </row>
    <row r="17" spans="1:3" ht="16" x14ac:dyDescent="0.2">
      <c r="A17" s="8" t="s">
        <v>210</v>
      </c>
      <c r="B17" s="29">
        <f>VLOOKUP(Saisies!$B$13,Hypothèses!$A$23:$B$29,2,FALSE())</f>
        <v>600</v>
      </c>
      <c r="C17" s="10" t="s">
        <v>211</v>
      </c>
    </row>
    <row r="18" spans="1:3" ht="16" x14ac:dyDescent="0.2">
      <c r="A18" s="8" t="s">
        <v>212</v>
      </c>
      <c r="B18" s="33">
        <f>Calculs!$B$17*Saisies!$B$12</f>
        <v>90000</v>
      </c>
      <c r="C18" s="10" t="s">
        <v>213</v>
      </c>
    </row>
    <row r="19" spans="1:3" ht="16" x14ac:dyDescent="0.2">
      <c r="A19" s="8" t="s">
        <v>214</v>
      </c>
      <c r="B19" s="34">
        <f>Calculs!$B$18*Calculs!$B$16</f>
        <v>10458</v>
      </c>
    </row>
    <row r="20" spans="1:3" ht="16" x14ac:dyDescent="0.2">
      <c r="A20" s="8" t="s">
        <v>215</v>
      </c>
      <c r="B20" s="32">
        <f>IF(Saisies!$B$19="diesel",Hypothèses!$B$11,IF(Saisies!$B$19="essence",Hypothèses!$B$10,IF(Saisies!$B$19="hybride",Hypothèses!$B$10*0.7,0)))</f>
        <v>1.8</v>
      </c>
      <c r="C20" s="10" t="s">
        <v>216</v>
      </c>
    </row>
    <row r="21" spans="1:3" ht="16" x14ac:dyDescent="0.2">
      <c r="A21" s="8" t="s">
        <v>217</v>
      </c>
      <c r="B21" s="35">
        <f>IF(Saisies!$B$19="aucun",0,Saisies!$B$20/100*Hypothèses!$B$17)</f>
        <v>1300</v>
      </c>
    </row>
    <row r="22" spans="1:3" ht="16" x14ac:dyDescent="0.2">
      <c r="A22" s="8" t="s">
        <v>218</v>
      </c>
      <c r="B22" s="34">
        <f>Calculs!$B$21*Calculs!$B$20</f>
        <v>2340</v>
      </c>
    </row>
    <row r="23" spans="1:3" ht="16" x14ac:dyDescent="0.2">
      <c r="A23" s="8" t="s">
        <v>219</v>
      </c>
      <c r="B23" s="34">
        <f>Calculs!$B$19+Calculs!$B$22</f>
        <v>12798</v>
      </c>
      <c r="C23" s="10" t="s">
        <v>220</v>
      </c>
    </row>
    <row r="24" spans="1:3" ht="16" x14ac:dyDescent="0.2">
      <c r="A24" s="8" t="s">
        <v>221</v>
      </c>
      <c r="B24" s="36">
        <f>IF(Saisies!$B$6&gt;0,Calculs!$B$23/Saisies!$B$6,0)</f>
        <v>0.31995000000000001</v>
      </c>
    </row>
    <row r="26" spans="1:3" ht="19.5" customHeight="1" x14ac:dyDescent="0.2">
      <c r="A26" s="6" t="s">
        <v>222</v>
      </c>
      <c r="B26" s="7"/>
      <c r="C26" s="7"/>
    </row>
    <row r="27" spans="1:3" ht="16" x14ac:dyDescent="0.2">
      <c r="A27" s="8" t="s">
        <v>223</v>
      </c>
      <c r="B27" s="24">
        <f>IF(Saisies!$B$22="ve_neuf",Calculs!$B$13,0)</f>
        <v>2000</v>
      </c>
      <c r="C27" s="10" t="s">
        <v>224</v>
      </c>
    </row>
    <row r="28" spans="1:3" ht="16" x14ac:dyDescent="0.2">
      <c r="A28" s="8" t="s">
        <v>225</v>
      </c>
      <c r="B28" s="24">
        <f>IF(Saisies!$B$22="ve_neuf",Hypothèses!$B$42,0)</f>
        <v>1500</v>
      </c>
      <c r="C28" s="10" t="s">
        <v>226</v>
      </c>
    </row>
    <row r="29" spans="1:3" ht="16" x14ac:dyDescent="0.2">
      <c r="A29" s="8" t="s">
        <v>227</v>
      </c>
      <c r="B29" s="24">
        <f>IF(AND(Saisies!$B$22="ve_neuf",Saisies!$B$19="diesel",OR(Calculs!$B$9="bleu",Calculs!$B$9="jaune")),Hypothèses!$B$43,0)</f>
        <v>0</v>
      </c>
      <c r="C29" s="10" t="s">
        <v>228</v>
      </c>
    </row>
    <row r="30" spans="1:3" ht="16" x14ac:dyDescent="0.2">
      <c r="A30" s="8" t="s">
        <v>229</v>
      </c>
      <c r="B30" s="24">
        <f>IF(AND(Saisies!$B$23="oui",Saisies!$B$22&lt;&gt;"aucun_mob"),MIN(Hypothèses!$B$47*Hypothèses!$B$48,Hypothèses!$B$49),0)</f>
        <v>500</v>
      </c>
      <c r="C30" s="10" t="s">
        <v>230</v>
      </c>
    </row>
    <row r="31" spans="1:3" ht="16" x14ac:dyDescent="0.2">
      <c r="A31" s="8" t="s">
        <v>231</v>
      </c>
      <c r="B31" s="24">
        <f>IF(AND(Saisies!$B$23="copro",Saisies!$B$22&lt;&gt;"aucun_mob"),Hypothèses!$B$50,0)</f>
        <v>0</v>
      </c>
    </row>
    <row r="32" spans="1:3" ht="16" x14ac:dyDescent="0.2">
      <c r="A32" s="8" t="s">
        <v>232</v>
      </c>
      <c r="B32" s="37">
        <f>Calculs!$B$27+Calculs!$B$28+Calculs!$B$29+Calculs!$B$30+Calculs!$B$31</f>
        <v>4000</v>
      </c>
    </row>
    <row r="33" spans="1:3" ht="16" x14ac:dyDescent="0.2">
      <c r="A33" s="8" t="s">
        <v>233</v>
      </c>
      <c r="B33" s="32">
        <f>IF(Saisies!$B$21="domicile",Hypothèses!$B$6,IF(Saisies!$B$21="urbain",0.25,0.3))</f>
        <v>0.20680000000000001</v>
      </c>
      <c r="C33" s="10" t="s">
        <v>234</v>
      </c>
    </row>
    <row r="34" spans="1:3" ht="16" x14ac:dyDescent="0.2">
      <c r="A34" s="8" t="s">
        <v>235</v>
      </c>
      <c r="B34" s="34">
        <f>IF(OR(Saisies!$B$22="aucun_mob",Saisies!$B$19="aucun"),0,Saisies!$B$20/100*Hypothèses!$B$18*Calculs!$B$33)</f>
        <v>703.12</v>
      </c>
    </row>
    <row r="35" spans="1:3" ht="16" x14ac:dyDescent="0.2">
      <c r="A35" s="8" t="s">
        <v>236</v>
      </c>
      <c r="B35" s="34">
        <f>IF(OR(NOT(OR(Saisies!$B$22="ve_neuf",Saisies!$B$22="ve_occ",Saisies!$B$22="leasing_social")),Saisies!$B$19="aucun"),0,Calculs!$B$22-Calculs!$B$34)</f>
        <v>1636.88</v>
      </c>
      <c r="C35" s="10" t="s">
        <v>237</v>
      </c>
    </row>
    <row r="36" spans="1:3" ht="16" x14ac:dyDescent="0.2">
      <c r="A36" s="8" t="s">
        <v>238</v>
      </c>
      <c r="B36" s="34">
        <f>IF(AND(Saisies!$B$22="leasing_social",OR(Calculs!$B$9="bleu",Calculs!$B$9="jaune")),Hypothèses!$B$44,0)</f>
        <v>0</v>
      </c>
      <c r="C36" s="10" t="s">
        <v>239</v>
      </c>
    </row>
    <row r="37" spans="1:3" ht="16" x14ac:dyDescent="0.2">
      <c r="A37" s="8" t="s">
        <v>240</v>
      </c>
      <c r="B37" s="38">
        <f>Calculs!$B$35+Calculs!$B$36</f>
        <v>1636.88</v>
      </c>
    </row>
    <row r="39" spans="1:3" ht="19.5" customHeight="1" x14ac:dyDescent="0.2">
      <c r="A39" s="6" t="s">
        <v>241</v>
      </c>
      <c r="B39" s="7"/>
      <c r="C39" s="7"/>
    </row>
    <row r="40" spans="1:3" ht="16" x14ac:dyDescent="0.2">
      <c r="A40" s="8" t="s">
        <v>242</v>
      </c>
      <c r="B40" s="29">
        <f>IF(Saisies!$B$10="loc",0,1)</f>
        <v>1</v>
      </c>
      <c r="C40" s="10" t="s">
        <v>243</v>
      </c>
    </row>
    <row r="41" spans="1:3" ht="16" x14ac:dyDescent="0.2">
      <c r="A41" s="8" t="s">
        <v>244</v>
      </c>
      <c r="B41" s="24">
        <f>IF(AND(Calculs!$B$40=1,Saisies!$B$16="pac_aireau"),INDEX(Hypothèses!$A$62:$D$65,Calculs!$B$10,2),0)</f>
        <v>3000</v>
      </c>
      <c r="C41" s="10" t="s">
        <v>245</v>
      </c>
    </row>
    <row r="42" spans="1:3" ht="16" x14ac:dyDescent="0.2">
      <c r="A42" s="8" t="s">
        <v>246</v>
      </c>
      <c r="B42" s="24">
        <f>IF(AND(Calculs!$B$40=1,Saisies!$B$16="pac_geo"),INDEX(Hypothèses!$A$62:$D$65,Calculs!$B$10,3),0)</f>
        <v>0</v>
      </c>
    </row>
    <row r="43" spans="1:3" ht="16" x14ac:dyDescent="0.2">
      <c r="A43" s="8" t="s">
        <v>247</v>
      </c>
      <c r="B43" s="24">
        <f>IF(AND(Calculs!$B$40=1,Saisies!$B$16="cet_only"),INDEX(Hypothèses!$A$62:$D$65,Calculs!$B$10,4),0)</f>
        <v>0</v>
      </c>
    </row>
    <row r="44" spans="1:3" ht="16" x14ac:dyDescent="0.2">
      <c r="A44" s="8" t="s">
        <v>248</v>
      </c>
      <c r="B44" s="24">
        <f>IF(AND(Calculs!$B$40=1,OR(Saisies!$B$16="pac_aireau",Saisies!$B$16="pac_geo")),IF(OR(Saisies!$B$14="gaz",Saisies!$B$14="fioul"),INDEX(Hypothèses!$A$75:$E$78,Calculs!$B$10,2),INDEX(Hypothèses!$A$75:$E$78,Calculs!$B$10,3)),0)</f>
        <v>4000</v>
      </c>
      <c r="C44" s="10" t="s">
        <v>249</v>
      </c>
    </row>
    <row r="45" spans="1:3" ht="16" x14ac:dyDescent="0.2">
      <c r="A45" s="8" t="s">
        <v>250</v>
      </c>
      <c r="B45" s="24">
        <f>IF(AND(Calculs!$B$40=1,Saisies!$B$16="cet_only"),INDEX(Hypothèses!$A$75:$E$78,Calculs!$B$10,4),0)</f>
        <v>0</v>
      </c>
      <c r="C45" s="10" t="s">
        <v>251</v>
      </c>
    </row>
    <row r="46" spans="1:3" ht="16" x14ac:dyDescent="0.2">
      <c r="A46" s="8" t="s">
        <v>252</v>
      </c>
      <c r="B46" s="24">
        <f>IF(AND(Calculs!$B$40=1,Saisies!$B$14="fioul",OR(Saisies!$B$16="pac_aireau",Saisies!$B$16="pac_geo")),INDEX(Hypothèses!$A$75:$E$78,Calculs!$B$10,5),0)</f>
        <v>0</v>
      </c>
    </row>
    <row r="47" spans="1:3" ht="16" x14ac:dyDescent="0.2">
      <c r="A47" s="8" t="s">
        <v>253</v>
      </c>
      <c r="B47" s="29">
        <f>MIN(MAX(Hypothèses!$B$95-1,1),3)</f>
        <v>1</v>
      </c>
      <c r="C47" s="10" t="s">
        <v>254</v>
      </c>
    </row>
    <row r="48" spans="1:3" ht="16" x14ac:dyDescent="0.2">
      <c r="A48" s="8" t="s">
        <v>255</v>
      </c>
      <c r="B48" s="24">
        <f>INDEX(Hypothèses!$A$83:$B$85,MATCH(Hypothèses!$B$95,INDEX(Hypothèses!$A$83:$B$85,,1),0),2)</f>
        <v>40000</v>
      </c>
      <c r="C48" s="10" t="s">
        <v>256</v>
      </c>
    </row>
    <row r="49" spans="1:3" ht="16" x14ac:dyDescent="0.2">
      <c r="A49" s="8" t="s">
        <v>257</v>
      </c>
      <c r="B49" s="36">
        <f>INDEX(Hypothèses!$A$89:$D$92,Calculs!$B$10,Calculs!$B$47+1)</f>
        <v>0.45</v>
      </c>
      <c r="C49" s="10" t="s">
        <v>258</v>
      </c>
    </row>
    <row r="50" spans="1:3" ht="16" x14ac:dyDescent="0.2">
      <c r="A50" s="8" t="s">
        <v>259</v>
      </c>
      <c r="B50" s="24">
        <f>IF(AND(Calculs!$B$40=1,Saisies!$B$16="reno_ampleur"),MIN(Hypothèses!$B$35,Calculs!$B$48),0)</f>
        <v>0</v>
      </c>
    </row>
    <row r="51" spans="1:3" ht="16" x14ac:dyDescent="0.2">
      <c r="A51" s="8" t="s">
        <v>260</v>
      </c>
      <c r="B51" s="24">
        <f>Calculs!$B$50*Calculs!$B$49</f>
        <v>0</v>
      </c>
      <c r="C51" s="10" t="s">
        <v>261</v>
      </c>
    </row>
    <row r="52" spans="1:3" ht="16" x14ac:dyDescent="0.2">
      <c r="A52" s="8" t="s">
        <v>168</v>
      </c>
      <c r="B52" s="24">
        <f>IF(AND(Calculs!$B$40=1,Saisies!$B$16="reno_ampleur",OR(Saisies!$B$13="F",Saisies!$B$13="G")),Hypothèses!$B$94,0)</f>
        <v>0</v>
      </c>
    </row>
    <row r="53" spans="1:3" ht="16" x14ac:dyDescent="0.2">
      <c r="A53" s="8" t="s">
        <v>262</v>
      </c>
      <c r="B53" s="37">
        <f>Calculs!$B$41+Calculs!$B$42+Calculs!$B$43+Calculs!$B$44+Calculs!$B$45+Calculs!$B$46+Calculs!$B$51+Calculs!$B$52</f>
        <v>7000</v>
      </c>
    </row>
    <row r="54" spans="1:3" ht="16" x14ac:dyDescent="0.2">
      <c r="A54" s="8" t="s">
        <v>263</v>
      </c>
      <c r="B54" s="24">
        <f>IF(Saisies!$B$16="pac_aireau",Hypothèses!$B$32,IF(Saisies!$B$16="pac_geo",Hypothèses!$B$33,IF(Saisies!$B$16="cet_only",Hypothèses!$B$34,IF(Saisies!$B$16="reno_ampleur",Hypothèses!$B$35,IF(Saisies!$B$16="pv_autoconso",Hypothèses!$B$36,0)))))</f>
        <v>14000</v>
      </c>
      <c r="C54" s="10" t="s">
        <v>264</v>
      </c>
    </row>
    <row r="55" spans="1:3" ht="16" x14ac:dyDescent="0.2">
      <c r="A55" s="8" t="s">
        <v>265</v>
      </c>
      <c r="B55" s="37">
        <f>IF(Calculs!$B$54&gt;0,MIN(Calculs!$B$53,Calculs!$B$54*Hypothèses!$B$124),Calculs!$B$53)</f>
        <v>7000</v>
      </c>
      <c r="C55" s="10" t="s">
        <v>266</v>
      </c>
    </row>
    <row r="57" spans="1:3" ht="19.5" customHeight="1" x14ac:dyDescent="0.2">
      <c r="A57" s="6" t="s">
        <v>267</v>
      </c>
      <c r="B57" s="7"/>
      <c r="C57" s="7"/>
    </row>
    <row r="58" spans="1:3" ht="16" x14ac:dyDescent="0.2">
      <c r="A58" s="8" t="s">
        <v>268</v>
      </c>
      <c r="B58" s="31">
        <f>IF(Saisies!$B$16="pac_geo",Hypothèses!$B$15,Hypothèses!$B$14)</f>
        <v>3.5</v>
      </c>
      <c r="C58" s="10" t="s">
        <v>269</v>
      </c>
    </row>
    <row r="59" spans="1:3" ht="16" x14ac:dyDescent="0.2">
      <c r="A59" s="8" t="s">
        <v>270</v>
      </c>
      <c r="B59" s="34">
        <f>Calculs!$B$18/Calculs!$B$58*Hypothèses!$B$5</f>
        <v>6469.7142857142853</v>
      </c>
      <c r="C59" s="10" t="s">
        <v>271</v>
      </c>
    </row>
    <row r="60" spans="1:3" ht="16" x14ac:dyDescent="0.2">
      <c r="A60" s="8" t="s">
        <v>272</v>
      </c>
      <c r="B60" s="34">
        <f>IF(AND(Calculs!$B$40=1,OR(Saisies!$B$16="pac_aireau",Saisies!$B$16="pac_geo")),MAX(0,Calculs!$B$19-Calculs!$B$59),0)</f>
        <v>3988.2857142857147</v>
      </c>
    </row>
    <row r="61" spans="1:3" ht="16" x14ac:dyDescent="0.2">
      <c r="A61" s="8" t="s">
        <v>273</v>
      </c>
      <c r="B61" s="34">
        <f>IF(AND(Calculs!$B$40=1,Saisies!$B$16="cet_only"),MAX(0,Saisies!$B$5*Hypothèses!$B$19*Hypothèses!$B$5*(1-1/Hypothèses!$B$16)),0)</f>
        <v>0</v>
      </c>
      <c r="C61" s="10" t="s">
        <v>274</v>
      </c>
    </row>
    <row r="62" spans="1:3" ht="16" x14ac:dyDescent="0.2">
      <c r="A62" s="8" t="s">
        <v>275</v>
      </c>
      <c r="B62" s="34">
        <f>IF(AND(Calculs!$B$40=1,Saisies!$B$16="reno_ampleur"),Calculs!$B$19*(1-Hypothèses!$B$96),0)</f>
        <v>0</v>
      </c>
      <c r="C62" s="10" t="s">
        <v>276</v>
      </c>
    </row>
    <row r="63" spans="1:3" ht="16" x14ac:dyDescent="0.2">
      <c r="A63" s="8" t="s">
        <v>277</v>
      </c>
      <c r="B63" s="38">
        <f>Calculs!$B$60+Calculs!$B$61+Calculs!$B$62</f>
        <v>3988.2857142857147</v>
      </c>
    </row>
    <row r="65" spans="1:3" ht="19.5" customHeight="1" x14ac:dyDescent="0.2">
      <c r="A65" s="6" t="s">
        <v>278</v>
      </c>
      <c r="B65" s="7"/>
      <c r="C65" s="7"/>
    </row>
    <row r="66" spans="1:3" ht="16" x14ac:dyDescent="0.2">
      <c r="A66" s="8" t="s">
        <v>279</v>
      </c>
      <c r="B66" s="29">
        <f>IF(Saisies!$B$16="pv_autoconso",1,0)</f>
        <v>0</v>
      </c>
    </row>
    <row r="67" spans="1:3" ht="16" x14ac:dyDescent="0.2">
      <c r="A67" s="8" t="s">
        <v>138</v>
      </c>
      <c r="B67" s="29">
        <f>Hypothèses!$B$57</f>
        <v>3</v>
      </c>
      <c r="C67" s="10" t="s">
        <v>280</v>
      </c>
    </row>
    <row r="68" spans="1:3" ht="16" x14ac:dyDescent="0.2">
      <c r="A68" s="8" t="s">
        <v>281</v>
      </c>
      <c r="B68" s="24">
        <f>Calculs!$B$66*Calculs!$B$67*IF(Calculs!$B$67&lt;=3,Hypothèses!$B$53,Hypothèses!$B$54)</f>
        <v>0</v>
      </c>
      <c r="C68" s="10" t="s">
        <v>282</v>
      </c>
    </row>
    <row r="69" spans="1:3" ht="16" x14ac:dyDescent="0.2">
      <c r="A69" s="8" t="s">
        <v>283</v>
      </c>
      <c r="B69" s="33">
        <f>Calculs!$B$66*Calculs!$B$67*Hypothèses!$B$56</f>
        <v>0</v>
      </c>
    </row>
    <row r="70" spans="1:3" ht="16" x14ac:dyDescent="0.2">
      <c r="A70" s="8" t="s">
        <v>284</v>
      </c>
      <c r="B70" s="34">
        <f>Calculs!$B$69*Hypothèses!$B$58*Hypothèses!$B$5</f>
        <v>0</v>
      </c>
      <c r="C70" s="10" t="s">
        <v>285</v>
      </c>
    </row>
    <row r="71" spans="1:3" ht="16" x14ac:dyDescent="0.2">
      <c r="A71" s="8" t="s">
        <v>286</v>
      </c>
      <c r="B71" s="34">
        <f>Calculs!$B$69*(1-Hypothèses!$B$58)*Hypothèses!$B$55</f>
        <v>0</v>
      </c>
      <c r="C71" s="10" t="s">
        <v>287</v>
      </c>
    </row>
    <row r="72" spans="1:3" ht="16" x14ac:dyDescent="0.2">
      <c r="A72" s="8" t="s">
        <v>288</v>
      </c>
      <c r="B72" s="38">
        <f>Calculs!$B$70+Calculs!$B$71</f>
        <v>0</v>
      </c>
    </row>
    <row r="74" spans="1:3" ht="19.5" customHeight="1" x14ac:dyDescent="0.2">
      <c r="A74" s="6" t="s">
        <v>289</v>
      </c>
      <c r="B74" s="7"/>
      <c r="C74" s="7"/>
    </row>
    <row r="75" spans="1:3" ht="16" x14ac:dyDescent="0.2">
      <c r="A75" s="8" t="s">
        <v>290</v>
      </c>
      <c r="B75" s="24">
        <f>IF(AND(Saisies!$B$23="oui",Saisies!$B$22&lt;&gt;"aucun_mob"),Hypothèses!$B$47,0)</f>
        <v>1200</v>
      </c>
    </row>
    <row r="76" spans="1:3" ht="16" x14ac:dyDescent="0.2">
      <c r="A76" s="8" t="s">
        <v>291</v>
      </c>
      <c r="B76" s="24">
        <f>IF(Saisies!$B$22="ve_neuf",Hypothèses!$B$41,0)</f>
        <v>9000</v>
      </c>
      <c r="C76" s="10" t="s">
        <v>292</v>
      </c>
    </row>
    <row r="77" spans="1:3" ht="16" x14ac:dyDescent="0.2">
      <c r="A77" s="8" t="s">
        <v>293</v>
      </c>
      <c r="B77" s="37">
        <f>Calculs!$B$54+Calculs!$B$75+Calculs!$B$76</f>
        <v>24200</v>
      </c>
      <c r="C77" s="10" t="s">
        <v>294</v>
      </c>
    </row>
    <row r="78" spans="1:3" ht="16" x14ac:dyDescent="0.2">
      <c r="A78" s="8" t="s">
        <v>295</v>
      </c>
      <c r="B78" s="37">
        <f>Calculs!$B$32+Calculs!$B$55+Calculs!$B$68</f>
        <v>11000</v>
      </c>
    </row>
    <row r="79" spans="1:3" ht="16" x14ac:dyDescent="0.2">
      <c r="A79" s="8" t="s">
        <v>296</v>
      </c>
      <c r="B79" s="38">
        <f>Calculs!$B$37+Calculs!$B$63+Calculs!$B$72</f>
        <v>5625.1657142857148</v>
      </c>
    </row>
    <row r="80" spans="1:3" ht="16" x14ac:dyDescent="0.2">
      <c r="A80" s="8" t="s">
        <v>297</v>
      </c>
      <c r="B80" s="37">
        <f>MAX(0,Calculs!$B$77-Calculs!$B$78)</f>
        <v>13200</v>
      </c>
      <c r="C80" s="10" t="s">
        <v>298</v>
      </c>
    </row>
    <row r="81" spans="1:3" ht="16" x14ac:dyDescent="0.2">
      <c r="A81" s="8" t="s">
        <v>299</v>
      </c>
      <c r="B81" s="37">
        <f>Calculs!$B$78+Calculs!$B$79*Saisies!$B$26-Calculs!$B$77</f>
        <v>99303.314285714296</v>
      </c>
      <c r="C81" s="10" t="s">
        <v>300</v>
      </c>
    </row>
    <row r="82" spans="1:3" ht="16" x14ac:dyDescent="0.2">
      <c r="A82" s="8" t="s">
        <v>301</v>
      </c>
      <c r="B82" s="30">
        <f>IF(Calculs!$B$79&lt;=0,"Non amortissable",IF(Calculs!$B$80=0,"Immédiat",ROUND(Calculs!$B$80/Calculs!$B$79,1)))</f>
        <v>2.2999999999999998</v>
      </c>
      <c r="C82" s="10" t="s">
        <v>302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46"/>
  <sheetViews>
    <sheetView showGridLines="0" topLeftCell="A8" zoomScaleNormal="100" workbookViewId="0">
      <selection activeCell="C12" sqref="C12"/>
    </sheetView>
  </sheetViews>
  <sheetFormatPr baseColWidth="10" defaultColWidth="8.6640625" defaultRowHeight="15" x14ac:dyDescent="0.2"/>
  <cols>
    <col min="1" max="1" width="4" customWidth="1"/>
    <col min="2" max="2" width="45" customWidth="1"/>
    <col min="3" max="3" width="22" customWidth="1"/>
    <col min="4" max="4" width="50" customWidth="1"/>
  </cols>
  <sheetData>
    <row r="1" spans="2:4" ht="18" x14ac:dyDescent="0.2">
      <c r="B1" s="4" t="s">
        <v>303</v>
      </c>
      <c r="C1" s="4"/>
      <c r="D1" s="4"/>
    </row>
    <row r="2" spans="2:4" x14ac:dyDescent="0.2">
      <c r="B2" s="3" t="s">
        <v>304</v>
      </c>
      <c r="C2" s="3"/>
      <c r="D2" s="3"/>
    </row>
    <row r="4" spans="2:4" ht="19.5" customHeight="1" x14ac:dyDescent="0.2">
      <c r="B4" s="39" t="s">
        <v>305</v>
      </c>
    </row>
    <row r="5" spans="2:4" ht="31.5" customHeight="1" x14ac:dyDescent="0.2">
      <c r="B5" s="40" t="s">
        <v>306</v>
      </c>
      <c r="C5" s="41">
        <f>Calculs!$B$23</f>
        <v>12798</v>
      </c>
      <c r="D5" s="42" t="s">
        <v>307</v>
      </c>
    </row>
    <row r="6" spans="2:4" ht="31.5" customHeight="1" x14ac:dyDescent="0.2">
      <c r="B6" s="40" t="s">
        <v>308</v>
      </c>
      <c r="C6" s="43">
        <f>Calculs!$B$24</f>
        <v>0.31995000000000001</v>
      </c>
      <c r="D6" s="42" t="s">
        <v>309</v>
      </c>
    </row>
    <row r="7" spans="2:4" ht="31.5" customHeight="1" x14ac:dyDescent="0.2">
      <c r="B7" s="44" t="s">
        <v>310</v>
      </c>
      <c r="C7" s="45">
        <f>Calculs!$B$78</f>
        <v>11000</v>
      </c>
      <c r="D7" s="46" t="s">
        <v>311</v>
      </c>
    </row>
    <row r="8" spans="2:4" ht="31.5" customHeight="1" x14ac:dyDescent="0.2">
      <c r="B8" s="47" t="s">
        <v>312</v>
      </c>
      <c r="C8" s="48">
        <f>Calculs!$B$79</f>
        <v>5625.1657142857148</v>
      </c>
      <c r="D8" s="49" t="s">
        <v>313</v>
      </c>
    </row>
    <row r="9" spans="2:4" ht="31.5" customHeight="1" x14ac:dyDescent="0.2">
      <c r="B9" s="40" t="s">
        <v>314</v>
      </c>
      <c r="C9" s="50">
        <f>Calculs!$B$77</f>
        <v>24200</v>
      </c>
      <c r="D9" s="42" t="s">
        <v>315</v>
      </c>
    </row>
    <row r="10" spans="2:4" ht="31.5" customHeight="1" x14ac:dyDescent="0.2">
      <c r="B10" s="44" t="s">
        <v>316</v>
      </c>
      <c r="C10" s="45">
        <f>Calculs!$B$80</f>
        <v>13200</v>
      </c>
      <c r="D10" s="46" t="s">
        <v>317</v>
      </c>
    </row>
    <row r="11" spans="2:4" ht="31.5" customHeight="1" x14ac:dyDescent="0.2">
      <c r="B11" s="47" t="s">
        <v>318</v>
      </c>
      <c r="C11" s="51">
        <f>Calculs!$B$81</f>
        <v>99303.314285714296</v>
      </c>
      <c r="D11" s="49" t="s">
        <v>319</v>
      </c>
    </row>
    <row r="12" spans="2:4" ht="31.5" customHeight="1" x14ac:dyDescent="0.2">
      <c r="B12" s="44" t="s">
        <v>320</v>
      </c>
      <c r="C12" s="52">
        <f>Calculs!$B$82</f>
        <v>2.2999999999999998</v>
      </c>
      <c r="D12" s="46" t="s">
        <v>321</v>
      </c>
    </row>
    <row r="15" spans="2:4" ht="19.5" customHeight="1" x14ac:dyDescent="0.2">
      <c r="B15" s="39" t="s">
        <v>322</v>
      </c>
    </row>
    <row r="16" spans="2:4" x14ac:dyDescent="0.2">
      <c r="B16" s="20" t="s">
        <v>323</v>
      </c>
      <c r="C16" s="20" t="s">
        <v>324</v>
      </c>
      <c r="D16" s="20" t="s">
        <v>325</v>
      </c>
    </row>
    <row r="17" spans="2:4" x14ac:dyDescent="0.2">
      <c r="B17" s="53" t="s">
        <v>326</v>
      </c>
      <c r="C17" s="54"/>
      <c r="D17" s="54"/>
    </row>
    <row r="18" spans="2:4" ht="16" x14ac:dyDescent="0.2">
      <c r="B18" s="8" t="s">
        <v>327</v>
      </c>
      <c r="C18" s="55">
        <f>Calculs!$B$27</f>
        <v>2000</v>
      </c>
      <c r="D18" s="10" t="s">
        <v>328</v>
      </c>
    </row>
    <row r="19" spans="2:4" ht="16" x14ac:dyDescent="0.2">
      <c r="B19" s="8" t="s">
        <v>329</v>
      </c>
      <c r="C19" s="55">
        <f>Calculs!$B$28</f>
        <v>1500</v>
      </c>
      <c r="D19" s="10" t="s">
        <v>330</v>
      </c>
    </row>
    <row r="20" spans="2:4" ht="16" x14ac:dyDescent="0.2">
      <c r="B20" s="8" t="s">
        <v>331</v>
      </c>
      <c r="C20" s="55">
        <f>Calculs!$B$29</f>
        <v>0</v>
      </c>
      <c r="D20" s="10" t="s">
        <v>228</v>
      </c>
    </row>
    <row r="21" spans="2:4" ht="16" x14ac:dyDescent="0.2">
      <c r="B21" s="8" t="s">
        <v>332</v>
      </c>
      <c r="C21" s="55">
        <f>Calculs!$B$30</f>
        <v>500</v>
      </c>
      <c r="D21" s="10" t="s">
        <v>230</v>
      </c>
    </row>
    <row r="22" spans="2:4" ht="16" x14ac:dyDescent="0.2">
      <c r="B22" s="8" t="s">
        <v>333</v>
      </c>
      <c r="C22" s="55">
        <f>Calculs!$B$31</f>
        <v>0</v>
      </c>
      <c r="D22" s="10" t="s">
        <v>334</v>
      </c>
    </row>
    <row r="23" spans="2:4" ht="16" x14ac:dyDescent="0.2">
      <c r="B23" s="8" t="s">
        <v>335</v>
      </c>
      <c r="C23" s="56">
        <f>Calculs!$B$35</f>
        <v>1636.88</v>
      </c>
      <c r="D23" s="10" t="s">
        <v>336</v>
      </c>
    </row>
    <row r="24" spans="2:4" ht="16" x14ac:dyDescent="0.2">
      <c r="B24" s="8" t="s">
        <v>337</v>
      </c>
      <c r="C24" s="56">
        <f>Calculs!$B$36</f>
        <v>0</v>
      </c>
      <c r="D24" s="10" t="s">
        <v>338</v>
      </c>
    </row>
    <row r="25" spans="2:4" x14ac:dyDescent="0.2">
      <c r="B25" s="53" t="s">
        <v>339</v>
      </c>
      <c r="C25" s="54"/>
      <c r="D25" s="54"/>
    </row>
    <row r="26" spans="2:4" ht="16" x14ac:dyDescent="0.2">
      <c r="B26" s="8" t="s">
        <v>340</v>
      </c>
      <c r="C26" s="55">
        <f>Calculs!$B$41</f>
        <v>3000</v>
      </c>
      <c r="D26" s="10" t="s">
        <v>341</v>
      </c>
    </row>
    <row r="27" spans="2:4" ht="16" x14ac:dyDescent="0.2">
      <c r="B27" s="8" t="s">
        <v>342</v>
      </c>
      <c r="C27" s="55">
        <f>Calculs!$B$42</f>
        <v>0</v>
      </c>
      <c r="D27" s="10" t="s">
        <v>341</v>
      </c>
    </row>
    <row r="28" spans="2:4" ht="16" x14ac:dyDescent="0.2">
      <c r="B28" s="8" t="s">
        <v>343</v>
      </c>
      <c r="C28" s="55">
        <f>Calculs!$B$43</f>
        <v>0</v>
      </c>
      <c r="D28" s="10" t="s">
        <v>341</v>
      </c>
    </row>
    <row r="29" spans="2:4" ht="16" x14ac:dyDescent="0.2">
      <c r="B29" s="8" t="s">
        <v>344</v>
      </c>
      <c r="C29" s="55">
        <f>Calculs!$B$44</f>
        <v>4000</v>
      </c>
      <c r="D29" s="10" t="s">
        <v>345</v>
      </c>
    </row>
    <row r="30" spans="2:4" ht="16" x14ac:dyDescent="0.2">
      <c r="B30" s="8" t="s">
        <v>346</v>
      </c>
      <c r="C30" s="55">
        <f>Calculs!$B$45</f>
        <v>0</v>
      </c>
      <c r="D30" s="10" t="s">
        <v>347</v>
      </c>
    </row>
    <row r="31" spans="2:4" ht="16" x14ac:dyDescent="0.2">
      <c r="B31" s="8" t="s">
        <v>348</v>
      </c>
      <c r="C31" s="55">
        <f>Calculs!$B$46</f>
        <v>0</v>
      </c>
      <c r="D31" s="10" t="s">
        <v>349</v>
      </c>
    </row>
    <row r="32" spans="2:4" ht="16" x14ac:dyDescent="0.2">
      <c r="B32" s="8" t="s">
        <v>350</v>
      </c>
      <c r="C32" s="55">
        <f>Calculs!$B$51</f>
        <v>0</v>
      </c>
      <c r="D32" s="10" t="s">
        <v>351</v>
      </c>
    </row>
    <row r="33" spans="2:4" ht="16" x14ac:dyDescent="0.2">
      <c r="B33" s="8" t="s">
        <v>352</v>
      </c>
      <c r="C33" s="55">
        <f>Calculs!$B$52</f>
        <v>0</v>
      </c>
      <c r="D33" s="10" t="s">
        <v>353</v>
      </c>
    </row>
    <row r="34" spans="2:4" ht="16" x14ac:dyDescent="0.2">
      <c r="B34" s="8" t="s">
        <v>354</v>
      </c>
      <c r="C34" s="56">
        <f>Calculs!$B$60</f>
        <v>3988.2857142857147</v>
      </c>
      <c r="D34" s="10" t="s">
        <v>355</v>
      </c>
    </row>
    <row r="35" spans="2:4" ht="16" x14ac:dyDescent="0.2">
      <c r="B35" s="8" t="s">
        <v>356</v>
      </c>
      <c r="C35" s="56">
        <f>Calculs!$B$61</f>
        <v>0</v>
      </c>
      <c r="D35" s="10" t="s">
        <v>355</v>
      </c>
    </row>
    <row r="36" spans="2:4" ht="16" x14ac:dyDescent="0.2">
      <c r="B36" s="8" t="s">
        <v>357</v>
      </c>
      <c r="C36" s="56">
        <f>Calculs!$B$62</f>
        <v>0</v>
      </c>
      <c r="D36" s="10" t="s">
        <v>355</v>
      </c>
    </row>
    <row r="37" spans="2:4" x14ac:dyDescent="0.2">
      <c r="B37" s="53" t="s">
        <v>358</v>
      </c>
      <c r="C37" s="54"/>
      <c r="D37" s="54"/>
    </row>
    <row r="38" spans="2:4" ht="16" x14ac:dyDescent="0.2">
      <c r="B38" s="8" t="s">
        <v>359</v>
      </c>
      <c r="C38" s="55">
        <f>Calculs!$B$68</f>
        <v>0</v>
      </c>
      <c r="D38" s="10" t="s">
        <v>360</v>
      </c>
    </row>
    <row r="39" spans="2:4" ht="16" x14ac:dyDescent="0.2">
      <c r="B39" s="8" t="s">
        <v>361</v>
      </c>
      <c r="C39" s="56">
        <f>Calculs!$B$70</f>
        <v>0</v>
      </c>
      <c r="D39" s="10" t="s">
        <v>355</v>
      </c>
    </row>
    <row r="40" spans="2:4" ht="16" x14ac:dyDescent="0.2">
      <c r="B40" s="8" t="s">
        <v>362</v>
      </c>
      <c r="C40" s="56">
        <f>Calculs!$B$71</f>
        <v>0</v>
      </c>
      <c r="D40" s="10" t="s">
        <v>363</v>
      </c>
    </row>
    <row r="43" spans="2:4" ht="19.5" customHeight="1" x14ac:dyDescent="0.2">
      <c r="B43" s="39" t="s">
        <v>364</v>
      </c>
    </row>
    <row r="44" spans="2:4" ht="16" x14ac:dyDescent="0.2">
      <c r="B44" s="8" t="s">
        <v>365</v>
      </c>
      <c r="C44" s="57" t="str">
        <f>Calculs!$B$9</f>
        <v>violet</v>
      </c>
      <c r="D44" s="5" t="s">
        <v>366</v>
      </c>
    </row>
    <row r="45" spans="2:4" ht="16" x14ac:dyDescent="0.2">
      <c r="B45" s="8" t="s">
        <v>367</v>
      </c>
      <c r="C45" s="58">
        <f>Calculs!$B$12</f>
        <v>20000</v>
      </c>
      <c r="D45" s="5" t="s">
        <v>204</v>
      </c>
    </row>
    <row r="46" spans="2:4" ht="16" x14ac:dyDescent="0.2">
      <c r="B46" s="8" t="s">
        <v>368</v>
      </c>
      <c r="C46" s="59" t="str">
        <f>Calculs!$B$6&amp;" / "&amp;Calculs!$B$7&amp;" / "&amp;Calculs!$B$8</f>
        <v>24875 / 31889 / 44907</v>
      </c>
    </row>
  </sheetData>
  <mergeCells count="2">
    <mergeCell ref="B1:D1"/>
    <mergeCell ref="B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6"/>
  <sheetViews>
    <sheetView showGridLines="0" zoomScaleNormal="100" workbookViewId="0">
      <selection activeCell="F18" sqref="F18"/>
    </sheetView>
  </sheetViews>
  <sheetFormatPr baseColWidth="10" defaultColWidth="8.6640625" defaultRowHeight="15" x14ac:dyDescent="0.2"/>
  <cols>
    <col min="1" max="1" width="23.33203125" customWidth="1"/>
    <col min="2" max="5" width="18" customWidth="1"/>
    <col min="6" max="10" width="22" customWidth="1"/>
  </cols>
  <sheetData>
    <row r="1" spans="1:10" ht="18" x14ac:dyDescent="0.2">
      <c r="A1" s="4" t="s">
        <v>369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">
      <c r="A2" s="3" t="s">
        <v>370</v>
      </c>
      <c r="B2" s="3"/>
      <c r="C2" s="3"/>
      <c r="D2" s="3"/>
      <c r="E2" s="3"/>
      <c r="F2" s="3"/>
      <c r="G2" s="3"/>
      <c r="H2" s="3"/>
      <c r="I2" s="3"/>
      <c r="J2" s="3"/>
    </row>
    <row r="4" spans="1:10" x14ac:dyDescent="0.2">
      <c r="A4" s="27" t="s">
        <v>371</v>
      </c>
      <c r="B4" s="60" t="s">
        <v>372</v>
      </c>
      <c r="C4" s="59" t="str">
        <f>Saisies!$B$29</f>
        <v>OUI</v>
      </c>
      <c r="D4" s="60" t="s">
        <v>373</v>
      </c>
      <c r="E4" s="59" t="str">
        <f>Saisies!$B$30</f>
        <v>NON</v>
      </c>
      <c r="F4" s="60" t="s">
        <v>374</v>
      </c>
      <c r="G4" s="59" t="str">
        <f>Saisies!$B$31</f>
        <v>OUI</v>
      </c>
      <c r="H4" s="60" t="s">
        <v>375</v>
      </c>
      <c r="I4" s="59" t="str">
        <f>Saisies!$B$32</f>
        <v>NON</v>
      </c>
    </row>
    <row r="5" spans="1:10" x14ac:dyDescent="0.2">
      <c r="A5" s="27" t="s">
        <v>376</v>
      </c>
      <c r="B5" s="60" t="s">
        <v>377</v>
      </c>
      <c r="C5" s="61">
        <f>Saisies!$B$35</f>
        <v>1</v>
      </c>
      <c r="D5" s="60" t="s">
        <v>378</v>
      </c>
      <c r="E5" s="61">
        <f>Saisies!$B$36</f>
        <v>1</v>
      </c>
      <c r="F5" s="60" t="s">
        <v>379</v>
      </c>
      <c r="G5" s="61">
        <f>Saisies!$B$37</f>
        <v>1</v>
      </c>
      <c r="H5" s="60" t="s">
        <v>380</v>
      </c>
      <c r="I5" s="61">
        <f>Saisies!$B$38</f>
        <v>1</v>
      </c>
    </row>
    <row r="7" spans="1:10" ht="19.5" customHeight="1" x14ac:dyDescent="0.2">
      <c r="A7" s="6" t="s">
        <v>381</v>
      </c>
      <c r="B7" s="7"/>
      <c r="C7" s="7"/>
      <c r="D7" s="7"/>
      <c r="E7" s="7"/>
      <c r="F7" s="7"/>
      <c r="G7" s="7"/>
      <c r="H7" s="7"/>
      <c r="I7" s="7"/>
      <c r="J7" s="7"/>
    </row>
    <row r="8" spans="1:10" x14ac:dyDescent="0.2">
      <c r="A8" s="20" t="s">
        <v>382</v>
      </c>
      <c r="B8" s="20" t="s">
        <v>383</v>
      </c>
      <c r="C8" s="20" t="s">
        <v>384</v>
      </c>
      <c r="D8" s="20" t="s">
        <v>385</v>
      </c>
      <c r="E8" s="20" t="s">
        <v>386</v>
      </c>
      <c r="F8" s="20" t="s">
        <v>387</v>
      </c>
      <c r="G8" s="20" t="s">
        <v>388</v>
      </c>
    </row>
    <row r="9" spans="1:10" x14ac:dyDescent="0.2">
      <c r="A9" s="27" t="s">
        <v>103</v>
      </c>
      <c r="B9" s="59" t="str">
        <f>Saisies!$B$29</f>
        <v>OUI</v>
      </c>
      <c r="C9" s="24">
        <f>IF(Saisies!$B$29="OUI",Hypothèses!$B$32,0)</f>
        <v>14000</v>
      </c>
      <c r="D9" s="24">
        <f>IF(AND(Saisies!$B$29="OUI",Saisies!$B$10&lt;&gt;"loc"),MIN((INDEX(Hypothèses!$A$62:$D$65,Calculs!$B$10,2)+IF(OR(Saisies!$B$14="gaz",Saisies!$B$14="fioul"),INDEX(Hypothèses!$A$75:$E$78,Calculs!$B$10,2),INDEX(Hypothèses!$A$75:$E$78,Calculs!$B$10,3))+IF(Saisies!$B$14="fioul",INDEX(Hypothèses!$A$75:$E$78,Calculs!$B$10,5),0)),Hypothèses!$B$32*Hypothèses!$B$124),0)</f>
        <v>7000</v>
      </c>
      <c r="E9" s="24">
        <f>MAX(0,C9-D9)</f>
        <v>7000</v>
      </c>
      <c r="F9" s="34">
        <f>IF(AND(Saisies!$B$29="OUI",Saisies!$B$10&lt;&gt;"loc"),MAX(0,Calculs!$B$19-Calculs!$B$18/Hypothèses!$B$14*Hypothèses!$B$5),0)</f>
        <v>3988.2857142857147</v>
      </c>
      <c r="G9" s="61">
        <f>Saisies!$B$35</f>
        <v>1</v>
      </c>
    </row>
    <row r="10" spans="1:10" x14ac:dyDescent="0.2">
      <c r="A10" s="27" t="s">
        <v>389</v>
      </c>
      <c r="B10" s="59" t="str">
        <f>Saisies!$B$30</f>
        <v>NON</v>
      </c>
      <c r="C10" s="24">
        <f>IF(Saisies!$B$30="OUI",Hypothèses!$B$35,0)</f>
        <v>0</v>
      </c>
      <c r="D10" s="24">
        <f>IF(AND(Saisies!$B$30="OUI",Saisies!$B$10&lt;&gt;"loc"),MIN(MIN(Hypothèses!$B$35,Calculs!$B$48)*Calculs!$B$49+IF(OR(Saisies!$B$13="F",Saisies!$B$13="G"),Hypothèses!$B$94,0),Hypothèses!$B$35*Hypothèses!$B$124),0)</f>
        <v>0</v>
      </c>
      <c r="E10" s="24">
        <f>MAX(0,C10-D10)</f>
        <v>0</v>
      </c>
      <c r="F10" s="34">
        <f>IF(AND(Saisies!$B$30="OUI",Saisies!$B$10&lt;&gt;"loc"),Calculs!$B$19*(1-Hypothèses!$B$96),0)</f>
        <v>0</v>
      </c>
      <c r="G10" s="61">
        <f>Saisies!$B$36</f>
        <v>1</v>
      </c>
    </row>
    <row r="11" spans="1:10" x14ac:dyDescent="0.2">
      <c r="A11" s="27" t="s">
        <v>390</v>
      </c>
      <c r="B11" s="59" t="str">
        <f>Saisies!$B$31</f>
        <v>OUI</v>
      </c>
      <c r="C11" s="24">
        <f>IF(Saisies!$B$31="OUI",Hypothèses!$B$41+IF(Saisies!$B$23="oui",Hypothèses!$B$47,0),0)</f>
        <v>10200</v>
      </c>
      <c r="D11" s="24">
        <f>IF(Saisies!$B$31="OUI",Calculs!$B$13+Hypothèses!$B$42+IF(AND(Saisies!$B$19="diesel",OR(Calculs!$B$9="bleu",Calculs!$B$9="jaune")),Hypothèses!$B$43,0)+IF(Saisies!$B$23="oui",MIN(Hypothèses!$B$47*Hypothèses!$B$48,Hypothèses!$B$49),0)+IF(Saisies!$B$23="copro",Hypothèses!$B$50,0),0)</f>
        <v>4000</v>
      </c>
      <c r="E11" s="24">
        <f>MAX(0,C11-D11)</f>
        <v>6200</v>
      </c>
      <c r="F11" s="34">
        <f>IF(AND(Saisies!$B$31="OUI",Saisies!$B$19&lt;&gt;"aucun"),Calculs!$B$22-Saisies!$B$20/100*Hypothèses!$B$18*IF(Saisies!$B$21="domicile",Hypothèses!$B$6,IF(Saisies!$B$21="urbain",0.25,0.3)),0)</f>
        <v>1636.88</v>
      </c>
      <c r="G11" s="61">
        <f>Saisies!$B$37</f>
        <v>1</v>
      </c>
    </row>
    <row r="12" spans="1:10" x14ac:dyDescent="0.2">
      <c r="A12" s="27" t="s">
        <v>391</v>
      </c>
      <c r="B12" s="59" t="str">
        <f>Saisies!$B$32</f>
        <v>NON</v>
      </c>
      <c r="C12" s="24">
        <f>IF(Saisies!$B$32="OUI",Hypothèses!$B$36,0)</f>
        <v>0</v>
      </c>
      <c r="D12" s="24">
        <f>IF(Saisies!$B$32="OUI",Hypothèses!$B$57*IF(Hypothèses!$B$57&lt;=3,Hypothèses!$B$53,Hypothèses!$B$54),0)</f>
        <v>0</v>
      </c>
      <c r="E12" s="24">
        <f>MAX(0,C12-D12)</f>
        <v>0</v>
      </c>
      <c r="F12" s="34">
        <f>IF(Saisies!$B$32="OUI",Hypothèses!$B$57*Hypothèses!$B$56*(Hypothèses!$B$58*Hypothèses!$B$5+(1-Hypothèses!$B$58)*Hypothèses!$B$55),0)</f>
        <v>0</v>
      </c>
      <c r="G12" s="61">
        <f>Saisies!$B$38</f>
        <v>1</v>
      </c>
    </row>
    <row r="13" spans="1:10" x14ac:dyDescent="0.2">
      <c r="A13" s="62" t="s">
        <v>392</v>
      </c>
      <c r="B13" s="63"/>
      <c r="C13" s="64">
        <f>SUM(C9:C12)</f>
        <v>24200</v>
      </c>
      <c r="D13" s="64">
        <f>SUM(D9:D12)</f>
        <v>11000</v>
      </c>
      <c r="E13" s="64">
        <f>SUM(E9:E12)</f>
        <v>13200</v>
      </c>
      <c r="F13" s="65">
        <f>SUM(F9:F12)</f>
        <v>5625.1657142857148</v>
      </c>
      <c r="G13" s="63"/>
    </row>
    <row r="15" spans="1:10" ht="19.5" customHeight="1" x14ac:dyDescent="0.2">
      <c r="A15" s="6" t="s">
        <v>393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x14ac:dyDescent="0.2">
      <c r="A16" s="20" t="s">
        <v>394</v>
      </c>
      <c r="B16" s="20" t="s">
        <v>395</v>
      </c>
      <c r="C16" s="20" t="s">
        <v>396</v>
      </c>
      <c r="D16" s="20" t="s">
        <v>397</v>
      </c>
      <c r="E16" s="20" t="s">
        <v>398</v>
      </c>
      <c r="F16" s="20" t="s">
        <v>399</v>
      </c>
      <c r="G16" s="20" t="s">
        <v>400</v>
      </c>
      <c r="H16" s="20" t="s">
        <v>401</v>
      </c>
      <c r="I16" s="20" t="s">
        <v>402</v>
      </c>
      <c r="J16" s="20" t="s">
        <v>403</v>
      </c>
    </row>
    <row r="17" spans="1:10" x14ac:dyDescent="0.2">
      <c r="A17" s="28">
        <v>1</v>
      </c>
      <c r="B17" s="24">
        <f>IF(A17=G9,E9,0)</f>
        <v>7000</v>
      </c>
      <c r="C17" s="24">
        <f>IF(A17=G10,E10,0)</f>
        <v>0</v>
      </c>
      <c r="D17" s="24">
        <f>IF(A17=G11,E11,0)</f>
        <v>6200</v>
      </c>
      <c r="E17" s="24">
        <f>IF(A17=G12,E12,0)</f>
        <v>0</v>
      </c>
      <c r="F17" s="34">
        <f>IF(A17&gt;=G9,F9,0)+IF(A17&gt;=G10,F10,0)+IF(A17&gt;=G11,F11,0)+IF(A17&gt;=G12,F12,0)</f>
        <v>5625.1657142857148</v>
      </c>
      <c r="G17" s="34">
        <f>MAX(0,Calculs!$B$23-F17)</f>
        <v>7172.8342857142852</v>
      </c>
      <c r="H17" s="34">
        <f>Calculs!$B$23</f>
        <v>12798</v>
      </c>
      <c r="I17" s="24">
        <f>B17+C17+D17+E17+G17</f>
        <v>20372.834285714285</v>
      </c>
      <c r="J17" s="24">
        <f>H17</f>
        <v>12798</v>
      </c>
    </row>
    <row r="18" spans="1:10" x14ac:dyDescent="0.2">
      <c r="A18" s="28">
        <v>2</v>
      </c>
      <c r="B18" s="24">
        <f>IF(A18=G9,E9,0)</f>
        <v>0</v>
      </c>
      <c r="C18" s="24">
        <f>IF(A18=G10,E10,0)</f>
        <v>0</v>
      </c>
      <c r="D18" s="24">
        <f>IF(A18=G11,E11,0)</f>
        <v>0</v>
      </c>
      <c r="E18" s="24">
        <f>IF(A18=G12,E12,0)</f>
        <v>0</v>
      </c>
      <c r="F18" s="34">
        <f>IF(A18&gt;=G9,F9,0)+IF(A18&gt;=G10,F10,0)+IF(A18&gt;=G11,F11,0)+IF(A18&gt;=G12,F12,0)</f>
        <v>5625.1657142857148</v>
      </c>
      <c r="G18" s="34">
        <f>MAX(0,Calculs!$B$23-F18)</f>
        <v>7172.8342857142852</v>
      </c>
      <c r="H18" s="34">
        <f>Calculs!$B$23</f>
        <v>12798</v>
      </c>
      <c r="I18" s="24">
        <f t="shared" ref="I18:I41" si="0">I17+B18+C18+D18+E18+G18</f>
        <v>27545.66857142857</v>
      </c>
      <c r="J18" s="24">
        <f t="shared" ref="J18:J41" si="1">J17+H18</f>
        <v>25596</v>
      </c>
    </row>
    <row r="19" spans="1:10" x14ac:dyDescent="0.2">
      <c r="A19" s="28">
        <v>3</v>
      </c>
      <c r="B19" s="24">
        <f>IF(A19=G9,E9,0)</f>
        <v>0</v>
      </c>
      <c r="C19" s="24">
        <f>IF(A19=G10,E10,0)</f>
        <v>0</v>
      </c>
      <c r="D19" s="24">
        <f>IF(A19=G11,E11,0)</f>
        <v>0</v>
      </c>
      <c r="E19" s="24">
        <f>IF(A19=G12,E12,0)</f>
        <v>0</v>
      </c>
      <c r="F19" s="34">
        <f>IF(A19&gt;=G9,F9,0)+IF(A19&gt;=G10,F10,0)+IF(A19&gt;=G11,F11,0)+IF(A19&gt;=G12,F12,0)</f>
        <v>5625.1657142857148</v>
      </c>
      <c r="G19" s="34">
        <f>MAX(0,Calculs!$B$23-F19)</f>
        <v>7172.8342857142852</v>
      </c>
      <c r="H19" s="34">
        <f>Calculs!$B$23</f>
        <v>12798</v>
      </c>
      <c r="I19" s="24">
        <f t="shared" si="0"/>
        <v>34718.502857142856</v>
      </c>
      <c r="J19" s="24">
        <f t="shared" si="1"/>
        <v>38394</v>
      </c>
    </row>
    <row r="20" spans="1:10" x14ac:dyDescent="0.2">
      <c r="A20" s="28">
        <v>4</v>
      </c>
      <c r="B20" s="24">
        <f>IF(A20=G9,E9,0)</f>
        <v>0</v>
      </c>
      <c r="C20" s="24">
        <f>IF(A20=G10,E10,0)</f>
        <v>0</v>
      </c>
      <c r="D20" s="24">
        <f>IF(A20=G11,E11,0)</f>
        <v>0</v>
      </c>
      <c r="E20" s="24">
        <f>IF(A20=G12,E12,0)</f>
        <v>0</v>
      </c>
      <c r="F20" s="34">
        <f>IF(A20&gt;=G9,F9,0)+IF(A20&gt;=G10,F10,0)+IF(A20&gt;=G11,F11,0)+IF(A20&gt;=G12,F12,0)</f>
        <v>5625.1657142857148</v>
      </c>
      <c r="G20" s="34">
        <f>MAX(0,Calculs!$B$23-F20)</f>
        <v>7172.8342857142852</v>
      </c>
      <c r="H20" s="34">
        <f>Calculs!$B$23</f>
        <v>12798</v>
      </c>
      <c r="I20" s="24">
        <f t="shared" si="0"/>
        <v>41891.337142857141</v>
      </c>
      <c r="J20" s="24">
        <f t="shared" si="1"/>
        <v>51192</v>
      </c>
    </row>
    <row r="21" spans="1:10" x14ac:dyDescent="0.2">
      <c r="A21" s="28">
        <v>5</v>
      </c>
      <c r="B21" s="24">
        <f>IF(A21=G9,E9,0)</f>
        <v>0</v>
      </c>
      <c r="C21" s="24">
        <f>IF(A21=G10,E10,0)</f>
        <v>0</v>
      </c>
      <c r="D21" s="24">
        <f>IF(A21=G11,E11,0)</f>
        <v>0</v>
      </c>
      <c r="E21" s="24">
        <f>IF(A21=G12,E12,0)</f>
        <v>0</v>
      </c>
      <c r="F21" s="34">
        <f>IF(A21&gt;=G9,F9,0)+IF(A21&gt;=G10,F10,0)+IF(A21&gt;=G11,F11,0)+IF(A21&gt;=G12,F12,0)</f>
        <v>5625.1657142857148</v>
      </c>
      <c r="G21" s="34">
        <f>MAX(0,Calculs!$B$23-F21)</f>
        <v>7172.8342857142852</v>
      </c>
      <c r="H21" s="34">
        <f>Calculs!$B$23</f>
        <v>12798</v>
      </c>
      <c r="I21" s="24">
        <f t="shared" si="0"/>
        <v>49064.171428571426</v>
      </c>
      <c r="J21" s="24">
        <f t="shared" si="1"/>
        <v>63990</v>
      </c>
    </row>
    <row r="22" spans="1:10" x14ac:dyDescent="0.2">
      <c r="A22" s="28">
        <v>6</v>
      </c>
      <c r="B22" s="24">
        <f>IF(A22=G9,E9,0)</f>
        <v>0</v>
      </c>
      <c r="C22" s="24">
        <f>IF(A22=G10,E10,0)</f>
        <v>0</v>
      </c>
      <c r="D22" s="24">
        <f>IF(A22=G11,E11,0)</f>
        <v>0</v>
      </c>
      <c r="E22" s="24">
        <f>IF(A22=G12,E12,0)</f>
        <v>0</v>
      </c>
      <c r="F22" s="34">
        <f>IF(A22&gt;=G9,F9,0)+IF(A22&gt;=G10,F10,0)+IF(A22&gt;=G11,F11,0)+IF(A22&gt;=G12,F12,0)</f>
        <v>5625.1657142857148</v>
      </c>
      <c r="G22" s="34">
        <f>MAX(0,Calculs!$B$23-F22)</f>
        <v>7172.8342857142852</v>
      </c>
      <c r="H22" s="34">
        <f>Calculs!$B$23</f>
        <v>12798</v>
      </c>
      <c r="I22" s="24">
        <f t="shared" si="0"/>
        <v>56237.005714285711</v>
      </c>
      <c r="J22" s="24">
        <f t="shared" si="1"/>
        <v>76788</v>
      </c>
    </row>
    <row r="23" spans="1:10" x14ac:dyDescent="0.2">
      <c r="A23" s="28">
        <v>7</v>
      </c>
      <c r="B23" s="24">
        <f>IF(A23=G9,E9,0)</f>
        <v>0</v>
      </c>
      <c r="C23" s="24">
        <f>IF(A23=G10,E10,0)</f>
        <v>0</v>
      </c>
      <c r="D23" s="24">
        <f>IF(A23=G11,E11,0)</f>
        <v>0</v>
      </c>
      <c r="E23" s="24">
        <f>IF(A23=G12,E12,0)</f>
        <v>0</v>
      </c>
      <c r="F23" s="34">
        <f>IF(A23&gt;=G9,F9,0)+IF(A23&gt;=G10,F10,0)+IF(A23&gt;=G11,F11,0)+IF(A23&gt;=G12,F12,0)</f>
        <v>5625.1657142857148</v>
      </c>
      <c r="G23" s="34">
        <f>MAX(0,Calculs!$B$23-F23)</f>
        <v>7172.8342857142852</v>
      </c>
      <c r="H23" s="34">
        <f>Calculs!$B$23</f>
        <v>12798</v>
      </c>
      <c r="I23" s="24">
        <f t="shared" si="0"/>
        <v>63409.84</v>
      </c>
      <c r="J23" s="24">
        <f t="shared" si="1"/>
        <v>89586</v>
      </c>
    </row>
    <row r="24" spans="1:10" x14ac:dyDescent="0.2">
      <c r="A24" s="28">
        <v>8</v>
      </c>
      <c r="B24" s="24">
        <f>IF(A24=G9,E9,0)</f>
        <v>0</v>
      </c>
      <c r="C24" s="24">
        <f>IF(A24=G10,E10,0)</f>
        <v>0</v>
      </c>
      <c r="D24" s="24">
        <f>IF(A24=G11,E11,0)</f>
        <v>0</v>
      </c>
      <c r="E24" s="24">
        <f>IF(A24=G12,E12,0)</f>
        <v>0</v>
      </c>
      <c r="F24" s="34">
        <f>IF(A24&gt;=G9,F9,0)+IF(A24&gt;=G10,F10,0)+IF(A24&gt;=G11,F11,0)+IF(A24&gt;=G12,F12,0)</f>
        <v>5625.1657142857148</v>
      </c>
      <c r="G24" s="34">
        <f>MAX(0,Calculs!$B$23-F24)</f>
        <v>7172.8342857142852</v>
      </c>
      <c r="H24" s="34">
        <f>Calculs!$B$23</f>
        <v>12798</v>
      </c>
      <c r="I24" s="24">
        <f t="shared" si="0"/>
        <v>70582.674285714282</v>
      </c>
      <c r="J24" s="24">
        <f t="shared" si="1"/>
        <v>102384</v>
      </c>
    </row>
    <row r="25" spans="1:10" x14ac:dyDescent="0.2">
      <c r="A25" s="28">
        <v>9</v>
      </c>
      <c r="B25" s="24">
        <f>IF(A25=G9,E9,0)</f>
        <v>0</v>
      </c>
      <c r="C25" s="24">
        <f>IF(A25=G10,E10,0)</f>
        <v>0</v>
      </c>
      <c r="D25" s="24">
        <f>IF(A25=G11,E11,0)</f>
        <v>0</v>
      </c>
      <c r="E25" s="24">
        <f>IF(A25=G12,E12,0)</f>
        <v>0</v>
      </c>
      <c r="F25" s="34">
        <f>IF(A25&gt;=G9,F9,0)+IF(A25&gt;=G10,F10,0)+IF(A25&gt;=G11,F11,0)+IF(A25&gt;=G12,F12,0)</f>
        <v>5625.1657142857148</v>
      </c>
      <c r="G25" s="34">
        <f>MAX(0,Calculs!$B$23-F25)</f>
        <v>7172.8342857142852</v>
      </c>
      <c r="H25" s="34">
        <f>Calculs!$B$23</f>
        <v>12798</v>
      </c>
      <c r="I25" s="24">
        <f t="shared" si="0"/>
        <v>77755.508571428567</v>
      </c>
      <c r="J25" s="24">
        <f t="shared" si="1"/>
        <v>115182</v>
      </c>
    </row>
    <row r="26" spans="1:10" x14ac:dyDescent="0.2">
      <c r="A26" s="28">
        <v>10</v>
      </c>
      <c r="B26" s="24">
        <f>IF(A26=G9,E9,0)</f>
        <v>0</v>
      </c>
      <c r="C26" s="24">
        <f>IF(A26=G10,E10,0)</f>
        <v>0</v>
      </c>
      <c r="D26" s="24">
        <f>IF(A26=G11,E11,0)</f>
        <v>0</v>
      </c>
      <c r="E26" s="24">
        <f>IF(A26=G12,E12,0)</f>
        <v>0</v>
      </c>
      <c r="F26" s="34">
        <f>IF(A26&gt;=G9,F9,0)+IF(A26&gt;=G10,F10,0)+IF(A26&gt;=G11,F11,0)+IF(A26&gt;=G12,F12,0)</f>
        <v>5625.1657142857148</v>
      </c>
      <c r="G26" s="34">
        <f>MAX(0,Calculs!$B$23-F26)</f>
        <v>7172.8342857142852</v>
      </c>
      <c r="H26" s="34">
        <f>Calculs!$B$23</f>
        <v>12798</v>
      </c>
      <c r="I26" s="24">
        <f t="shared" si="0"/>
        <v>84928.342857142852</v>
      </c>
      <c r="J26" s="24">
        <f t="shared" si="1"/>
        <v>127980</v>
      </c>
    </row>
    <row r="27" spans="1:10" x14ac:dyDescent="0.2">
      <c r="A27" s="28">
        <v>11</v>
      </c>
      <c r="B27" s="24">
        <f>IF(A27=G9,E9,0)</f>
        <v>0</v>
      </c>
      <c r="C27" s="24">
        <f>IF(A27=G10,E10,0)</f>
        <v>0</v>
      </c>
      <c r="D27" s="24">
        <f>IF(A27=G11,E11,0)</f>
        <v>0</v>
      </c>
      <c r="E27" s="24">
        <f>IF(A27=G12,E12,0)</f>
        <v>0</v>
      </c>
      <c r="F27" s="34">
        <f>IF(A27&gt;=G9,F9,0)+IF(A27&gt;=G10,F10,0)+IF(A27&gt;=G11,F11,0)+IF(A27&gt;=G12,F12,0)</f>
        <v>5625.1657142857148</v>
      </c>
      <c r="G27" s="34">
        <f>MAX(0,Calculs!$B$23-F27)</f>
        <v>7172.8342857142852</v>
      </c>
      <c r="H27" s="34">
        <f>Calculs!$B$23</f>
        <v>12798</v>
      </c>
      <c r="I27" s="24">
        <f t="shared" si="0"/>
        <v>92101.177142857137</v>
      </c>
      <c r="J27" s="24">
        <f t="shared" si="1"/>
        <v>140778</v>
      </c>
    </row>
    <row r="28" spans="1:10" x14ac:dyDescent="0.2">
      <c r="A28" s="28">
        <v>12</v>
      </c>
      <c r="B28" s="24">
        <f>IF(A28=G9,E9,0)</f>
        <v>0</v>
      </c>
      <c r="C28" s="24">
        <f>IF(A28=G10,E10,0)</f>
        <v>0</v>
      </c>
      <c r="D28" s="24">
        <f>IF(A28=G11,E11,0)</f>
        <v>0</v>
      </c>
      <c r="E28" s="24">
        <f>IF(A28=G12,E12,0)</f>
        <v>0</v>
      </c>
      <c r="F28" s="34">
        <f>IF(A28&gt;=G9,F9,0)+IF(A28&gt;=G10,F10,0)+IF(A28&gt;=G11,F11,0)+IF(A28&gt;=G12,F12,0)</f>
        <v>5625.1657142857148</v>
      </c>
      <c r="G28" s="34">
        <f>MAX(0,Calculs!$B$23-F28)</f>
        <v>7172.8342857142852</v>
      </c>
      <c r="H28" s="34">
        <f>Calculs!$B$23</f>
        <v>12798</v>
      </c>
      <c r="I28" s="24">
        <f t="shared" si="0"/>
        <v>99274.011428571423</v>
      </c>
      <c r="J28" s="24">
        <f t="shared" si="1"/>
        <v>153576</v>
      </c>
    </row>
    <row r="29" spans="1:10" x14ac:dyDescent="0.2">
      <c r="A29" s="28">
        <v>13</v>
      </c>
      <c r="B29" s="24">
        <f>IF(A29=G9,E9,0)</f>
        <v>0</v>
      </c>
      <c r="C29" s="24">
        <f>IF(A29=G10,E10,0)</f>
        <v>0</v>
      </c>
      <c r="D29" s="24">
        <f>IF(A29=G11,E11,0)</f>
        <v>0</v>
      </c>
      <c r="E29" s="24">
        <f>IF(A29=G12,E12,0)</f>
        <v>0</v>
      </c>
      <c r="F29" s="34">
        <f>IF(A29&gt;=G9,F9,0)+IF(A29&gt;=G10,F10,0)+IF(A29&gt;=G11,F11,0)+IF(A29&gt;=G12,F12,0)</f>
        <v>5625.1657142857148</v>
      </c>
      <c r="G29" s="34">
        <f>MAX(0,Calculs!$B$23-F29)</f>
        <v>7172.8342857142852</v>
      </c>
      <c r="H29" s="34">
        <f>Calculs!$B$23</f>
        <v>12798</v>
      </c>
      <c r="I29" s="24">
        <f t="shared" si="0"/>
        <v>106446.84571428571</v>
      </c>
      <c r="J29" s="24">
        <f t="shared" si="1"/>
        <v>166374</v>
      </c>
    </row>
    <row r="30" spans="1:10" x14ac:dyDescent="0.2">
      <c r="A30" s="28">
        <v>14</v>
      </c>
      <c r="B30" s="24">
        <f>IF(A30=G9,E9,0)</f>
        <v>0</v>
      </c>
      <c r="C30" s="24">
        <f>IF(A30=G10,E10,0)</f>
        <v>0</v>
      </c>
      <c r="D30" s="24">
        <f>IF(A30=G11,E11,0)</f>
        <v>0</v>
      </c>
      <c r="E30" s="24">
        <f>IF(A30=G12,E12,0)</f>
        <v>0</v>
      </c>
      <c r="F30" s="34">
        <f>IF(A30&gt;=G9,F9,0)+IF(A30&gt;=G10,F10,0)+IF(A30&gt;=G11,F11,0)+IF(A30&gt;=G12,F12,0)</f>
        <v>5625.1657142857148</v>
      </c>
      <c r="G30" s="34">
        <f>MAX(0,Calculs!$B$23-F30)</f>
        <v>7172.8342857142852</v>
      </c>
      <c r="H30" s="34">
        <f>Calculs!$B$23</f>
        <v>12798</v>
      </c>
      <c r="I30" s="24">
        <f t="shared" si="0"/>
        <v>113619.68</v>
      </c>
      <c r="J30" s="24">
        <f t="shared" si="1"/>
        <v>179172</v>
      </c>
    </row>
    <row r="31" spans="1:10" x14ac:dyDescent="0.2">
      <c r="A31" s="28">
        <v>15</v>
      </c>
      <c r="B31" s="24">
        <f>IF(A31=G9,E9,0)</f>
        <v>0</v>
      </c>
      <c r="C31" s="24">
        <f>IF(A31=G10,E10,0)</f>
        <v>0</v>
      </c>
      <c r="D31" s="24">
        <f>IF(A31=G11,E11,0)</f>
        <v>0</v>
      </c>
      <c r="E31" s="24">
        <f>IF(A31=G12,E12,0)</f>
        <v>0</v>
      </c>
      <c r="F31" s="34">
        <f>IF(A31&gt;=G9,F9,0)+IF(A31&gt;=G10,F10,0)+IF(A31&gt;=G11,F11,0)+IF(A31&gt;=G12,F12,0)</f>
        <v>5625.1657142857148</v>
      </c>
      <c r="G31" s="34">
        <f>MAX(0,Calculs!$B$23-F31)</f>
        <v>7172.8342857142852</v>
      </c>
      <c r="H31" s="34">
        <f>Calculs!$B$23</f>
        <v>12798</v>
      </c>
      <c r="I31" s="24">
        <f t="shared" si="0"/>
        <v>120792.51428571428</v>
      </c>
      <c r="J31" s="24">
        <f t="shared" si="1"/>
        <v>191970</v>
      </c>
    </row>
    <row r="32" spans="1:10" x14ac:dyDescent="0.2">
      <c r="A32" s="28">
        <v>16</v>
      </c>
      <c r="B32" s="24">
        <f>IF(A32=G9,E9,0)</f>
        <v>0</v>
      </c>
      <c r="C32" s="24">
        <f>IF(A32=G10,E10,0)</f>
        <v>0</v>
      </c>
      <c r="D32" s="24">
        <f>IF(A32=G11,E11,0)</f>
        <v>0</v>
      </c>
      <c r="E32" s="24">
        <f>IF(A32=G12,E12,0)</f>
        <v>0</v>
      </c>
      <c r="F32" s="34">
        <f>IF(A32&gt;=G9,F9,0)+IF(A32&gt;=G10,F10,0)+IF(A32&gt;=G11,F11,0)+IF(A32&gt;=G12,F12,0)</f>
        <v>5625.1657142857148</v>
      </c>
      <c r="G32" s="34">
        <f>MAX(0,Calculs!$B$23-F32)</f>
        <v>7172.8342857142852</v>
      </c>
      <c r="H32" s="34">
        <f>Calculs!$B$23</f>
        <v>12798</v>
      </c>
      <c r="I32" s="24">
        <f t="shared" si="0"/>
        <v>127965.34857142856</v>
      </c>
      <c r="J32" s="24">
        <f t="shared" si="1"/>
        <v>204768</v>
      </c>
    </row>
    <row r="33" spans="1:10" x14ac:dyDescent="0.2">
      <c r="A33" s="28">
        <v>17</v>
      </c>
      <c r="B33" s="24">
        <f>IF(A33=G9,E9,0)</f>
        <v>0</v>
      </c>
      <c r="C33" s="24">
        <f>IF(A33=G10,E10,0)</f>
        <v>0</v>
      </c>
      <c r="D33" s="24">
        <f>IF(A33=G11,E11,0)</f>
        <v>0</v>
      </c>
      <c r="E33" s="24">
        <f>IF(A33=G12,E12,0)</f>
        <v>0</v>
      </c>
      <c r="F33" s="34">
        <f>IF(A33&gt;=G9,F9,0)+IF(A33&gt;=G10,F10,0)+IF(A33&gt;=G11,F11,0)+IF(A33&gt;=G12,F12,0)</f>
        <v>5625.1657142857148</v>
      </c>
      <c r="G33" s="34">
        <f>MAX(0,Calculs!$B$23-F33)</f>
        <v>7172.8342857142852</v>
      </c>
      <c r="H33" s="34">
        <f>Calculs!$B$23</f>
        <v>12798</v>
      </c>
      <c r="I33" s="24">
        <f t="shared" si="0"/>
        <v>135138.18285714285</v>
      </c>
      <c r="J33" s="24">
        <f t="shared" si="1"/>
        <v>217566</v>
      </c>
    </row>
    <row r="34" spans="1:10" x14ac:dyDescent="0.2">
      <c r="A34" s="28">
        <v>18</v>
      </c>
      <c r="B34" s="24">
        <f>IF(A34=G9,E9,0)</f>
        <v>0</v>
      </c>
      <c r="C34" s="24">
        <f>IF(A34=G10,E10,0)</f>
        <v>0</v>
      </c>
      <c r="D34" s="24">
        <f>IF(A34=G11,E11,0)</f>
        <v>0</v>
      </c>
      <c r="E34" s="24">
        <f>IF(A34=G12,E12,0)</f>
        <v>0</v>
      </c>
      <c r="F34" s="34">
        <f>IF(A34&gt;=G9,F9,0)+IF(A34&gt;=G10,F10,0)+IF(A34&gt;=G11,F11,0)+IF(A34&gt;=G12,F12,0)</f>
        <v>5625.1657142857148</v>
      </c>
      <c r="G34" s="34">
        <f>MAX(0,Calculs!$B$23-F34)</f>
        <v>7172.8342857142852</v>
      </c>
      <c r="H34" s="34">
        <f>Calculs!$B$23</f>
        <v>12798</v>
      </c>
      <c r="I34" s="24">
        <f t="shared" si="0"/>
        <v>142311.01714285713</v>
      </c>
      <c r="J34" s="24">
        <f t="shared" si="1"/>
        <v>230364</v>
      </c>
    </row>
    <row r="35" spans="1:10" x14ac:dyDescent="0.2">
      <c r="A35" s="28">
        <v>19</v>
      </c>
      <c r="B35" s="24">
        <f>IF(A35=G9,E9,0)</f>
        <v>0</v>
      </c>
      <c r="C35" s="24">
        <f>IF(A35=G10,E10,0)</f>
        <v>0</v>
      </c>
      <c r="D35" s="24">
        <f>IF(A35=G11,E11,0)</f>
        <v>0</v>
      </c>
      <c r="E35" s="24">
        <f>IF(A35=G12,E12,0)</f>
        <v>0</v>
      </c>
      <c r="F35" s="34">
        <f>IF(A35&gt;=G9,F9,0)+IF(A35&gt;=G10,F10,0)+IF(A35&gt;=G11,F11,0)+IF(A35&gt;=G12,F12,0)</f>
        <v>5625.1657142857148</v>
      </c>
      <c r="G35" s="34">
        <f>MAX(0,Calculs!$B$23-F35)</f>
        <v>7172.8342857142852</v>
      </c>
      <c r="H35" s="34">
        <f>Calculs!$B$23</f>
        <v>12798</v>
      </c>
      <c r="I35" s="24">
        <f t="shared" si="0"/>
        <v>149483.85142857142</v>
      </c>
      <c r="J35" s="24">
        <f t="shared" si="1"/>
        <v>243162</v>
      </c>
    </row>
    <row r="36" spans="1:10" x14ac:dyDescent="0.2">
      <c r="A36" s="28">
        <v>20</v>
      </c>
      <c r="B36" s="24">
        <f>IF(A36=G9,E9,0)</f>
        <v>0</v>
      </c>
      <c r="C36" s="24">
        <f>IF(A36=G10,E10,0)</f>
        <v>0</v>
      </c>
      <c r="D36" s="24">
        <f>IF(A36=G11,E11,0)</f>
        <v>0</v>
      </c>
      <c r="E36" s="24">
        <f>IF(A36=G12,E12,0)</f>
        <v>0</v>
      </c>
      <c r="F36" s="34">
        <f>IF(A36&gt;=G9,F9,0)+IF(A36&gt;=G10,F10,0)+IF(A36&gt;=G11,F11,0)+IF(A36&gt;=G12,F12,0)</f>
        <v>5625.1657142857148</v>
      </c>
      <c r="G36" s="34">
        <f>MAX(0,Calculs!$B$23-F36)</f>
        <v>7172.8342857142852</v>
      </c>
      <c r="H36" s="34">
        <f>Calculs!$B$23</f>
        <v>12798</v>
      </c>
      <c r="I36" s="24">
        <f t="shared" si="0"/>
        <v>156656.6857142857</v>
      </c>
      <c r="J36" s="24">
        <f t="shared" si="1"/>
        <v>255960</v>
      </c>
    </row>
    <row r="37" spans="1:10" x14ac:dyDescent="0.2">
      <c r="A37" s="28">
        <v>21</v>
      </c>
      <c r="B37" s="24">
        <f>IF(A37=G9,E9,0)</f>
        <v>0</v>
      </c>
      <c r="C37" s="24">
        <f>IF(A37=G10,E10,0)</f>
        <v>0</v>
      </c>
      <c r="D37" s="24">
        <f>IF(A37=G11,E11,0)</f>
        <v>0</v>
      </c>
      <c r="E37" s="24">
        <f>IF(A37=G12,E12,0)</f>
        <v>0</v>
      </c>
      <c r="F37" s="34">
        <f>IF(A37&gt;=G9,F9,0)+IF(A37&gt;=G10,F10,0)+IF(A37&gt;=G11,F11,0)+IF(A37&gt;=G12,F12,0)</f>
        <v>5625.1657142857148</v>
      </c>
      <c r="G37" s="34">
        <f>MAX(0,Calculs!$B$23-F37)</f>
        <v>7172.8342857142852</v>
      </c>
      <c r="H37" s="34">
        <f>Calculs!$B$23</f>
        <v>12798</v>
      </c>
      <c r="I37" s="24">
        <f t="shared" si="0"/>
        <v>163829.51999999999</v>
      </c>
      <c r="J37" s="24">
        <f t="shared" si="1"/>
        <v>268758</v>
      </c>
    </row>
    <row r="38" spans="1:10" x14ac:dyDescent="0.2">
      <c r="A38" s="28">
        <v>22</v>
      </c>
      <c r="B38" s="24">
        <f>IF(A38=G9,E9,0)</f>
        <v>0</v>
      </c>
      <c r="C38" s="24">
        <f>IF(A38=G10,E10,0)</f>
        <v>0</v>
      </c>
      <c r="D38" s="24">
        <f>IF(A38=G11,E11,0)</f>
        <v>0</v>
      </c>
      <c r="E38" s="24">
        <f>IF(A38=G12,E12,0)</f>
        <v>0</v>
      </c>
      <c r="F38" s="34">
        <f>IF(A38&gt;=G9,F9,0)+IF(A38&gt;=G10,F10,0)+IF(A38&gt;=G11,F11,0)+IF(A38&gt;=G12,F12,0)</f>
        <v>5625.1657142857148</v>
      </c>
      <c r="G38" s="34">
        <f>MAX(0,Calculs!$B$23-F38)</f>
        <v>7172.8342857142852</v>
      </c>
      <c r="H38" s="34">
        <f>Calculs!$B$23</f>
        <v>12798</v>
      </c>
      <c r="I38" s="24">
        <f t="shared" si="0"/>
        <v>171002.35428571427</v>
      </c>
      <c r="J38" s="24">
        <f t="shared" si="1"/>
        <v>281556</v>
      </c>
    </row>
    <row r="39" spans="1:10" x14ac:dyDescent="0.2">
      <c r="A39" s="28">
        <v>23</v>
      </c>
      <c r="B39" s="24">
        <f>IF(A39=G9,E9,0)</f>
        <v>0</v>
      </c>
      <c r="C39" s="24">
        <f>IF(A39=G10,E10,0)</f>
        <v>0</v>
      </c>
      <c r="D39" s="24">
        <f>IF(A39=G11,E11,0)</f>
        <v>0</v>
      </c>
      <c r="E39" s="24">
        <f>IF(A39=G12,E12,0)</f>
        <v>0</v>
      </c>
      <c r="F39" s="34">
        <f>IF(A39&gt;=G9,F9,0)+IF(A39&gt;=G10,F10,0)+IF(A39&gt;=G11,F11,0)+IF(A39&gt;=G12,F12,0)</f>
        <v>5625.1657142857148</v>
      </c>
      <c r="G39" s="34">
        <f>MAX(0,Calculs!$B$23-F39)</f>
        <v>7172.8342857142852</v>
      </c>
      <c r="H39" s="34">
        <f>Calculs!$B$23</f>
        <v>12798</v>
      </c>
      <c r="I39" s="24">
        <f t="shared" si="0"/>
        <v>178175.18857142856</v>
      </c>
      <c r="J39" s="24">
        <f t="shared" si="1"/>
        <v>294354</v>
      </c>
    </row>
    <row r="40" spans="1:10" x14ac:dyDescent="0.2">
      <c r="A40" s="28">
        <v>24</v>
      </c>
      <c r="B40" s="24">
        <f>IF(A40=G9,E9,0)</f>
        <v>0</v>
      </c>
      <c r="C40" s="24">
        <f>IF(A40=G10,E10,0)</f>
        <v>0</v>
      </c>
      <c r="D40" s="24">
        <f>IF(A40=G11,E11,0)</f>
        <v>0</v>
      </c>
      <c r="E40" s="24">
        <f>IF(A40=G12,E12,0)</f>
        <v>0</v>
      </c>
      <c r="F40" s="34">
        <f>IF(A40&gt;=G9,F9,0)+IF(A40&gt;=G10,F10,0)+IF(A40&gt;=G11,F11,0)+IF(A40&gt;=G12,F12,0)</f>
        <v>5625.1657142857148</v>
      </c>
      <c r="G40" s="34">
        <f>MAX(0,Calculs!$B$23-F40)</f>
        <v>7172.8342857142852</v>
      </c>
      <c r="H40" s="34">
        <f>Calculs!$B$23</f>
        <v>12798</v>
      </c>
      <c r="I40" s="24">
        <f t="shared" si="0"/>
        <v>185348.02285714285</v>
      </c>
      <c r="J40" s="24">
        <f t="shared" si="1"/>
        <v>307152</v>
      </c>
    </row>
    <row r="41" spans="1:10" x14ac:dyDescent="0.2">
      <c r="A41" s="28">
        <v>25</v>
      </c>
      <c r="B41" s="24">
        <f>IF(A41=G9,E9,0)</f>
        <v>0</v>
      </c>
      <c r="C41" s="24">
        <f>IF(A41=G10,E10,0)</f>
        <v>0</v>
      </c>
      <c r="D41" s="24">
        <f>IF(A41=G11,E11,0)</f>
        <v>0</v>
      </c>
      <c r="E41" s="24">
        <f>IF(A41=G12,E12,0)</f>
        <v>0</v>
      </c>
      <c r="F41" s="34">
        <f>IF(A41&gt;=G9,F9,0)+IF(A41&gt;=G10,F10,0)+IF(A41&gt;=G11,F11,0)+IF(A41&gt;=G12,F12,0)</f>
        <v>5625.1657142857148</v>
      </c>
      <c r="G41" s="34">
        <f>MAX(0,Calculs!$B$23-F41)</f>
        <v>7172.8342857142852</v>
      </c>
      <c r="H41" s="34">
        <f>Calculs!$B$23</f>
        <v>12798</v>
      </c>
      <c r="I41" s="24">
        <f t="shared" si="0"/>
        <v>192520.85714285713</v>
      </c>
      <c r="J41" s="24">
        <f t="shared" si="1"/>
        <v>319950</v>
      </c>
    </row>
    <row r="43" spans="1:10" ht="19.5" customHeight="1" x14ac:dyDescent="0.2">
      <c r="A43" s="6" t="s">
        <v>404</v>
      </c>
      <c r="B43" s="7"/>
      <c r="C43" s="7"/>
      <c r="D43" s="7"/>
      <c r="E43" s="7"/>
      <c r="F43" s="7"/>
      <c r="G43" s="7"/>
      <c r="H43" s="7"/>
      <c r="I43" s="7"/>
      <c r="J43" s="7"/>
    </row>
    <row r="44" spans="1:10" x14ac:dyDescent="0.2">
      <c r="A44" s="27" t="s">
        <v>405</v>
      </c>
      <c r="B44" s="2">
        <f>INDEX(I17:I41,Saisies!$B$26)</f>
        <v>156656.6857142857</v>
      </c>
      <c r="C44" s="2"/>
    </row>
    <row r="45" spans="1:10" x14ac:dyDescent="0.2">
      <c r="A45" s="27" t="s">
        <v>403</v>
      </c>
      <c r="B45" s="2">
        <f>INDEX(J17:J41,Saisies!$B$26)</f>
        <v>255960</v>
      </c>
      <c r="C45" s="2"/>
    </row>
    <row r="46" spans="1:10" x14ac:dyDescent="0.2">
      <c r="A46" s="27" t="s">
        <v>406</v>
      </c>
      <c r="B46" s="1">
        <f>INDEX(J17:J41,Saisies!$B$26)-INDEX(I17:I41,Saisies!$B$26)</f>
        <v>99303.314285714296</v>
      </c>
      <c r="C46" s="1"/>
    </row>
  </sheetData>
  <mergeCells count="5">
    <mergeCell ref="A1:J1"/>
    <mergeCell ref="A2:J2"/>
    <mergeCell ref="B44:C44"/>
    <mergeCell ref="B45:C45"/>
    <mergeCell ref="B46:C4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Saisies</vt:lpstr>
      <vt:lpstr>Hypothèses</vt:lpstr>
      <vt:lpstr>Calculs</vt:lpstr>
      <vt:lpstr>Résultats</vt:lpstr>
      <vt:lpstr>Étalement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Bertrand Matge</cp:lastModifiedBy>
  <cp:revision>0</cp:revision>
  <dcterms:created xsi:type="dcterms:W3CDTF">2026-05-20T12:06:39Z</dcterms:created>
  <dcterms:modified xsi:type="dcterms:W3CDTF">2026-05-20T12:26:40Z</dcterms:modified>
  <dc:language>en-US</dc:language>
</cp:coreProperties>
</file>