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ertrand/Developer/GitHub/simulateurs-portail-elec/docs/specs-metier/poids-lourds/"/>
    </mc:Choice>
  </mc:AlternateContent>
  <xr:revisionPtr revIDLastSave="0" documentId="8_{476C785A-A133-5344-B38C-9B114EB9E957}" xr6:coauthVersionLast="47" xr6:coauthVersionMax="47" xr10:uidLastSave="{00000000-0000-0000-0000-000000000000}"/>
  <bookViews>
    <workbookView xWindow="2900" yWindow="1840" windowWidth="20820" windowHeight="13480" tabRatio="500" xr2:uid="{00000000-000D-0000-FFFF-FFFF00000000}"/>
  </bookViews>
  <sheets>
    <sheet name="Saisies" sheetId="1" r:id="rId1"/>
    <sheet name="Hypothèses" sheetId="2" r:id="rId2"/>
    <sheet name="Calculs" sheetId="3" r:id="rId3"/>
    <sheet name="Résultats" sheetId="4" r:id="rId4"/>
    <sheet name="Sensibilité km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5" l="1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C36" i="4"/>
  <c r="C34" i="4"/>
  <c r="C33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B31" i="3"/>
  <c r="B30" i="3"/>
  <c r="B18" i="3"/>
  <c r="B17" i="3"/>
  <c r="C35" i="4" s="1"/>
  <c r="B16" i="3"/>
  <c r="C32" i="4" s="1"/>
  <c r="B15" i="3"/>
  <c r="C31" i="4" s="1"/>
  <c r="B12" i="3"/>
  <c r="B35" i="3" s="1"/>
  <c r="C9" i="4" s="1"/>
  <c r="B9" i="3"/>
  <c r="B6" i="3"/>
  <c r="B10" i="3" s="1"/>
  <c r="B5" i="3"/>
  <c r="D18" i="4" l="1"/>
  <c r="D17" i="4"/>
  <c r="B11" i="3"/>
  <c r="D20" i="4"/>
  <c r="D16" i="4"/>
  <c r="B23" i="3"/>
  <c r="C38" i="4" s="1"/>
  <c r="C29" i="4"/>
  <c r="D19" i="4"/>
  <c r="D15" i="4"/>
  <c r="E24" i="5"/>
  <c r="F24" i="5" s="1"/>
  <c r="C19" i="4"/>
  <c r="B19" i="3"/>
  <c r="C16" i="4"/>
  <c r="C28" i="4"/>
  <c r="E12" i="5"/>
  <c r="F12" i="5" s="1"/>
  <c r="E17" i="5"/>
  <c r="F17" i="5" s="1"/>
  <c r="E22" i="5"/>
  <c r="F22" i="5" s="1"/>
  <c r="B22" i="3"/>
  <c r="C20" i="4"/>
  <c r="E20" i="4" s="1"/>
  <c r="C30" i="4"/>
  <c r="E10" i="5"/>
  <c r="F10" i="5" s="1"/>
  <c r="E15" i="5"/>
  <c r="F15" i="5" s="1"/>
  <c r="E20" i="5"/>
  <c r="F20" i="5" s="1"/>
  <c r="E25" i="5"/>
  <c r="F25" i="5" s="1"/>
  <c r="C17" i="4"/>
  <c r="E17" i="4" s="1"/>
  <c r="E8" i="5"/>
  <c r="F8" i="5" s="1"/>
  <c r="E13" i="5"/>
  <c r="F13" i="5" s="1"/>
  <c r="E18" i="5"/>
  <c r="F18" i="5" s="1"/>
  <c r="E23" i="5"/>
  <c r="F23" i="5" s="1"/>
  <c r="E11" i="5"/>
  <c r="F11" i="5" s="1"/>
  <c r="E16" i="5"/>
  <c r="F16" i="5" s="1"/>
  <c r="E21" i="5"/>
  <c r="F21" i="5" s="1"/>
  <c r="E26" i="5"/>
  <c r="F26" i="5" s="1"/>
  <c r="C18" i="4"/>
  <c r="E18" i="4" s="1"/>
  <c r="C15" i="4"/>
  <c r="E9" i="5"/>
  <c r="F9" i="5" s="1"/>
  <c r="E14" i="5"/>
  <c r="F14" i="5" s="1"/>
  <c r="E19" i="5"/>
  <c r="F19" i="5" s="1"/>
  <c r="E16" i="4" l="1"/>
  <c r="C5" i="4"/>
  <c r="B32" i="3"/>
  <c r="B24" i="3"/>
  <c r="C8" i="4" s="1"/>
  <c r="C37" i="4"/>
  <c r="B28" i="3"/>
  <c r="B27" i="3"/>
  <c r="C6" i="4"/>
  <c r="E15" i="4"/>
  <c r="E19" i="4"/>
  <c r="B29" i="3" l="1"/>
  <c r="C7" i="4"/>
  <c r="C10" i="4"/>
  <c r="C4" i="5"/>
</calcChain>
</file>

<file path=xl/sharedStrings.xml><?xml version="1.0" encoding="utf-8"?>
<sst xmlns="http://schemas.openxmlformats.org/spreadsheetml/2006/main" count="152" uniqueCount="133">
  <si>
    <t>Saisies — votre poids lourd</t>
  </si>
  <si>
    <t>Choisissez d'abord le type ; les valeurs ci-dessous reprennent les presets par défaut, modifiables.</t>
  </si>
  <si>
    <t>Type de véhicule</t>
  </si>
  <si>
    <t>Type</t>
  </si>
  <si>
    <t>tracteur</t>
  </si>
  <si>
    <t>tracteur (40 t, longue distance, aide max 100 k€) · porteur (19-26 t, urbain, aide max 50 k€).</t>
  </si>
  <si>
    <t>Mon véhicule (prix &amp; maintenance)</t>
  </si>
  <si>
    <t>Prix diesel (€ HT)</t>
  </si>
  <si>
    <t>Préset tracteur. Mettre 80 000 pour un porteur.</t>
  </si>
  <si>
    <t>Prix électrique (€ HT)</t>
  </si>
  <si>
    <t>Préset tracteur. Mettre 195 000 pour un porteur.</t>
  </si>
  <si>
    <t>Maintenance diesel (€/an)</t>
  </si>
  <si>
    <t>Maintenance électrique (€/an)</t>
  </si>
  <si>
    <t>Mon exploitation</t>
  </si>
  <si>
    <t>Kilométrage annuel (km)</t>
  </si>
  <si>
    <t>Pivot DGEC : 85 000 km/an pour un tracteur.</t>
  </si>
  <si>
    <t>Durée de détention (ans)</t>
  </si>
  <si>
    <t>3 à 10 ans.</t>
  </si>
  <si>
    <t>Conso diesel (L/100 km)</t>
  </si>
  <si>
    <t>Conso électrique (kWh/100 km)</t>
  </si>
  <si>
    <t>Prix de l'énergie</t>
  </si>
  <si>
    <t>Prix gazole pro TTC (€/L)</t>
  </si>
  <si>
    <t>Hors remboursement TICPE.</t>
  </si>
  <si>
    <t>Prix électricité recharge (€/kWh)</t>
  </si>
  <si>
    <t>Mix dépôt nuit (~0,20) + hub itinérance (~0,40).</t>
  </si>
  <si>
    <t>Aide à l'achat</t>
  </si>
  <si>
    <t>Aide mobilisée (€)</t>
  </si>
  <si>
    <t>Sera plafonnée à 100 000 € (tracteur) ou 50 000 € (porteur) selon le type.</t>
  </si>
  <si>
    <t>Hypothèses — Poids lourd électrique vs diesel 2026</t>
  </si>
  <si>
    <t>Cellules bleues modifiables. Presets tracteur/porteur appliqués automatiquement selon le type choisi.</t>
  </si>
  <si>
    <t>Presets par type de poids lourd</t>
  </si>
  <si>
    <t>Paramètre</t>
  </si>
  <si>
    <t>Tracteur</t>
  </si>
  <si>
    <t>Porteur</t>
  </si>
  <si>
    <t>Indicatif marché 2026</t>
  </si>
  <si>
    <t>IRU / FCM 2024-2025</t>
  </si>
  <si>
    <t>T&amp;E 2024 — tracteur 40 t</t>
  </si>
  <si>
    <t>CNR — référentiel coûts</t>
  </si>
  <si>
    <t>−40 % vs diesel (estim.)</t>
  </si>
  <si>
    <t>Aide max mobilisable (€)</t>
  </si>
  <si>
    <t>Plan d'électrification 2026 — Mesure 12</t>
  </si>
  <si>
    <t>Prix énergies par défaut (modifiables)</t>
  </si>
  <si>
    <t>Hors remboursement TICPE</t>
  </si>
  <si>
    <t>Mix dépôt 0,20 + hub 0,40</t>
  </si>
  <si>
    <t>Calculs intermédiaires — TCO poids lourd</t>
  </si>
  <si>
    <t>Formules reproduisant à l'identique le JS du simulateur.</t>
  </si>
  <si>
    <t>1. Aide effective (plafonnée selon type)</t>
  </si>
  <si>
    <t>Aide max selon type (€)</t>
  </si>
  <si>
    <t>Préset tracteur = 100 000 ; porteur = 50 000.</t>
  </si>
  <si>
    <t>Aide effective (€)</t>
  </si>
  <si>
    <t>MIN(saisie, plafond du type).</t>
  </si>
  <si>
    <t>2. Coûts d'acquisition (€ HT)</t>
  </si>
  <si>
    <t>Acquisition diesel</t>
  </si>
  <si>
    <t>Prix catalogue HT.</t>
  </si>
  <si>
    <t>Acquisition électrique (après aide)</t>
  </si>
  <si>
    <t>Prix HT − aide effective, borné à 0.</t>
  </si>
  <si>
    <t>Surcoût net à l'achat (E − D)</t>
  </si>
  <si>
    <t>Positif = élec coûte plus à l'achat.</t>
  </si>
  <si>
    <t>Surcoût brut (avant aide)</t>
  </si>
  <si>
    <t>Sert au % financé par l'État.</t>
  </si>
  <si>
    <t>3. Coûts annuels d'opération (€/an)</t>
  </si>
  <si>
    <t>Carburant diesel /an</t>
  </si>
  <si>
    <t>km × conso/100 × prix.</t>
  </si>
  <si>
    <t>Électricité PL /an</t>
  </si>
  <si>
    <t>km × conso élec/100 × prix kWh.</t>
  </si>
  <si>
    <t>Opération diesel /an (carburant + maintenance)</t>
  </si>
  <si>
    <t>Opération électrique /an (élec + maintenance)</t>
  </si>
  <si>
    <t>Économie annuelle (D − E)</t>
  </si>
  <si>
    <t>Positif = élec moins cher à l'opération.</t>
  </si>
  <si>
    <t>4. TCO sur la durée de détention</t>
  </si>
  <si>
    <t>TCO diesel sur N ans</t>
  </si>
  <si>
    <t>Acquisition + N × opération annuelle.</t>
  </si>
  <si>
    <t>TCO électrique sur N ans</t>
  </si>
  <si>
    <t>Gain TCO (D − E)</t>
  </si>
  <si>
    <t>Positif = élec gagnant sur la période.</t>
  </si>
  <si>
    <t>5. Point d'équilibre (BEP) et pivot km</t>
  </si>
  <si>
    <t>Point d'équilibre (années) — texte ou nombre</t>
  </si>
  <si>
    <t>Surcoût ÷ économie annuelle. Si éco ≤ 0 → non rentable.</t>
  </si>
  <si>
    <t>BEP — valeur numérique (pour graph)</t>
  </si>
  <si>
    <t>Version numérique utilisable dans formules.</t>
  </si>
  <si>
    <t>BEP atteint dans la durée de détention ?</t>
  </si>
  <si>
    <t>Si BEP ≤ durée, l'investissement est amorti avant revente.</t>
  </si>
  <si>
    <t>Écart par km (€/km) — diesel − élec</t>
  </si>
  <si>
    <t>Différence de coût énergie par km parcouru.</t>
  </si>
  <si>
    <t>Écart maintenance (€/an) — diesel − élec</t>
  </si>
  <si>
    <t>Économie maintenance annuelle.</t>
  </si>
  <si>
    <t>Pivot kilométrage (km/an pour amortir sur N ans)</t>
  </si>
  <si>
    <t>Surcoût net ÷ (durée × écart par km) après déduction de l'éco maintenance.</t>
  </si>
  <si>
    <t>6. Part financée par l'État</t>
  </si>
  <si>
    <t>% du surcoût brut financé par l'aide</t>
  </si>
  <si>
    <t>Borné à 100 %.</t>
  </si>
  <si>
    <t>Résultats — synthèse</t>
  </si>
  <si>
    <t>Tous les indicateurs se mettent à jour automatiquement.</t>
  </si>
  <si>
    <t>Indicateurs clés</t>
  </si>
  <si>
    <t>Surcoût net à l'achat (vs diesel)</t>
  </si>
  <si>
    <t>Reste après aide. Négatif = l'aide couvre l'écart.</t>
  </si>
  <si>
    <t>Économie annuelle (carburant + maintenance)</t>
  </si>
  <si>
    <t>Diesel − électrique sur les coûts d'opération.</t>
  </si>
  <si>
    <t>Point d'équilibre</t>
  </si>
  <si>
    <t>Surcoût ÷ économie annuelle. Texte si non rentable / immédiat.</t>
  </si>
  <si>
    <t>Gain TCO sur la période</t>
  </si>
  <si>
    <t>Économisé vs diesel sur la durée de détention.</t>
  </si>
  <si>
    <t>% du surcoût brut financé par l'État</t>
  </si>
  <si>
    <t>Aide effective ÷ surcoût brut (avant aide).</t>
  </si>
  <si>
    <t>Pivot kilométrage (km/an pour amortir)</t>
  </si>
  <si>
    <t>Au-dessus de ce kilométrage, l'élec est rentable sur la période.</t>
  </si>
  <si>
    <t>Détail année par année — TCO cumulé</t>
  </si>
  <si>
    <t>Année</t>
  </si>
  <si>
    <t>TCO cumulé diesel</t>
  </si>
  <si>
    <t>TCO cumulé électrique</t>
  </si>
  <si>
    <t>Écart cumulé</t>
  </si>
  <si>
    <t>Détail des coûts (cas par défaut)</t>
  </si>
  <si>
    <t>Prix HT − aide effective.</t>
  </si>
  <si>
    <t>Aide effective mobilisée</t>
  </si>
  <si>
    <t>Plafonnée au max du type.</t>
  </si>
  <si>
    <t>km × conso/100 × prix gazole.</t>
  </si>
  <si>
    <t>Maintenance diesel /an</t>
  </si>
  <si>
    <t>Maintenance électrique /an</t>
  </si>
  <si>
    <t>Opération diesel /an</t>
  </si>
  <si>
    <t>Carburant + maintenance.</t>
  </si>
  <si>
    <t>Opération électrique /an</t>
  </si>
  <si>
    <t>Électricité + maintenance.</t>
  </si>
  <si>
    <t>Acquisition + N × opération.</t>
  </si>
  <si>
    <t>Sensibilité au kilométrage annuel</t>
  </si>
  <si>
    <t>Gain TCO selon le kilométrage (toutes autres saisies inchangées). Pivot calculé en Calculs!</t>
  </si>
  <si>
    <t>Rappel pivot km calculé</t>
  </si>
  <si>
    <t>Au-delà de ce km/an, le TCO électrique passe sous le diesel.</t>
  </si>
  <si>
    <t>Tableau de sensibilité</t>
  </si>
  <si>
    <t>km/an</t>
  </si>
  <si>
    <t>Gain TCO sur durée</t>
  </si>
  <si>
    <t>Statut</t>
  </si>
  <si>
    <t>Premier km/an rentable (gain ≥ 0)</t>
  </si>
  <si>
    <t>Première ligne du tableau où l'électrique gagne (par pas de 10 000 km).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</si>
</sst>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&quot; €&quot;;[Red]\-#,##0&quot; €&quot;;\—"/>
    <numFmt numFmtId="165" formatCode="#,##0&quot; €/an&quot;;[Red]\-#,##0&quot; €/an&quot;;\—"/>
    <numFmt numFmtId="166" formatCode="#,##0&quot; km/an&quot;"/>
    <numFmt numFmtId="167" formatCode="0.0&quot; L/100 km&quot;"/>
    <numFmt numFmtId="168" formatCode="0.0&quot; kWh/100 km&quot;"/>
    <numFmt numFmtId="169" formatCode="0.0&quot; ans&quot;"/>
    <numFmt numFmtId="170" formatCode="0.0000&quot; €/km&quot;"/>
    <numFmt numFmtId="171" formatCode="#,##0&quot; km&quot;"/>
    <numFmt numFmtId="172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000091"/>
      <name val="Arial"/>
      <family val="2"/>
    </font>
    <font>
      <i/>
      <sz val="9"/>
      <color rgb="FF666666"/>
      <name val="Arial"/>
      <family val="2"/>
    </font>
    <font>
      <b/>
      <sz val="11"/>
      <color rgb="FF000091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color rgb="FF666666"/>
      <name val="Arial"/>
      <family val="2"/>
    </font>
    <font>
      <b/>
      <sz val="18"/>
      <color rgb="FFB34000"/>
      <name val="Arial"/>
      <family val="2"/>
    </font>
    <font>
      <b/>
      <sz val="18"/>
      <color rgb="FF18753C"/>
      <name val="Arial"/>
      <family val="2"/>
    </font>
    <font>
      <b/>
      <sz val="18"/>
      <color rgb="FF000091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3E3FD"/>
        <bgColor rgb="FFF5F5FE"/>
      </patternFill>
    </fill>
    <fill>
      <patternFill patternType="solid">
        <fgColor rgb="FFFFFFE0"/>
        <bgColor rgb="FFFFF8F3"/>
      </patternFill>
    </fill>
    <fill>
      <patternFill patternType="solid">
        <fgColor rgb="FF000091"/>
        <bgColor rgb="FF000080"/>
      </patternFill>
    </fill>
    <fill>
      <patternFill patternType="solid">
        <fgColor rgb="FFFFF8F3"/>
        <bgColor rgb="FFFFFFFF"/>
      </patternFill>
    </fill>
    <fill>
      <patternFill patternType="solid">
        <fgColor rgb="FFF3FBF6"/>
        <bgColor rgb="FFF5F5FE"/>
      </patternFill>
    </fill>
    <fill>
      <patternFill patternType="solid">
        <fgColor rgb="FFF5F5FE"/>
        <bgColor rgb="FFF3FB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8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167" fontId="4" fillId="3" borderId="0" xfId="0" applyNumberFormat="1" applyFont="1" applyFill="1" applyAlignment="1">
      <alignment horizontal="right" vertical="center"/>
    </xf>
    <xf numFmtId="168" fontId="4" fillId="3" borderId="0" xfId="0" applyNumberFormat="1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2" fontId="4" fillId="3" borderId="0" xfId="0" applyNumberFormat="1" applyFont="1" applyFill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71" fontId="6" fillId="0" borderId="0" xfId="0" applyNumberFormat="1" applyFont="1" applyAlignment="1">
      <alignment horizontal="right" vertical="center"/>
    </xf>
    <xf numFmtId="172" fontId="6" fillId="0" borderId="0" xfId="0" applyNumberFormat="1" applyFont="1" applyAlignment="1">
      <alignment horizontal="right" vertical="center"/>
    </xf>
    <xf numFmtId="0" fontId="3" fillId="0" borderId="0" xfId="0" applyFont="1"/>
    <xf numFmtId="0" fontId="8" fillId="5" borderId="0" xfId="0" applyFont="1" applyFill="1" applyAlignment="1">
      <alignment horizontal="left" vertical="center" wrapText="1"/>
    </xf>
    <xf numFmtId="164" fontId="9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165" fontId="10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169" fontId="11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 wrapText="1"/>
    </xf>
    <xf numFmtId="164" fontId="10" fillId="6" borderId="0" xfId="0" applyNumberFormat="1" applyFont="1" applyFill="1" applyAlignment="1">
      <alignment horizontal="right" vertical="center"/>
    </xf>
    <xf numFmtId="172" fontId="11" fillId="7" borderId="0" xfId="0" applyNumberFormat="1" applyFont="1" applyFill="1" applyAlignment="1">
      <alignment horizontal="right" vertical="center"/>
    </xf>
    <xf numFmtId="171" fontId="11" fillId="7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13" fillId="0" borderId="0" xfId="0" applyNumberFormat="1" applyFont="1" applyAlignment="1">
      <alignment horizontal="right" vertical="center"/>
    </xf>
    <xf numFmtId="0" fontId="7" fillId="0" borderId="0" xfId="0" applyFont="1"/>
    <xf numFmtId="171" fontId="13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1"/>
      <rgbColor rgb="FF808000"/>
      <rgbColor rgb="FF800080"/>
      <rgbColor rgb="FF18753C"/>
      <rgbColor rgb="FFC0C0C0"/>
      <rgbColor rgb="FF808080"/>
      <rgbColor rgb="FF9999FF"/>
      <rgbColor rgb="FF993366"/>
      <rgbColor rgb="FFFFFFE0"/>
      <rgbColor rgb="FFF3FBF6"/>
      <rgbColor rgb="FF660066"/>
      <rgbColor rgb="FFFF8080"/>
      <rgbColor rgb="FF0066CC"/>
      <rgbColor rgb="FFE3E3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E"/>
      <rgbColor rgb="FFCCFFCC"/>
      <rgbColor rgb="FFFFF8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34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zoomScaleNormal="100" workbookViewId="0">
      <selection sqref="A1:C1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60" customWidth="1"/>
  </cols>
  <sheetData>
    <row r="1" spans="1:3" ht="18" x14ac:dyDescent="0.2">
      <c r="A1" s="2" t="s">
        <v>0</v>
      </c>
      <c r="B1" s="2"/>
      <c r="C1" s="2"/>
    </row>
    <row r="2" spans="1:3" x14ac:dyDescent="0.2">
      <c r="A2" s="1" t="s">
        <v>1</v>
      </c>
      <c r="B2" s="1"/>
      <c r="C2" s="1"/>
    </row>
    <row r="4" spans="1:3" ht="19.5" customHeight="1" x14ac:dyDescent="0.2">
      <c r="A4" s="3" t="s">
        <v>2</v>
      </c>
      <c r="B4" s="4"/>
      <c r="C4" s="4"/>
    </row>
    <row r="5" spans="1:3" ht="26" x14ac:dyDescent="0.2">
      <c r="A5" s="5" t="s">
        <v>3</v>
      </c>
      <c r="B5" s="6" t="s">
        <v>4</v>
      </c>
      <c r="C5" s="7" t="s">
        <v>5</v>
      </c>
    </row>
    <row r="7" spans="1:3" ht="19.5" customHeight="1" x14ac:dyDescent="0.2">
      <c r="A7" s="3" t="s">
        <v>6</v>
      </c>
      <c r="B7" s="4"/>
      <c r="C7" s="4"/>
    </row>
    <row r="8" spans="1:3" ht="16" x14ac:dyDescent="0.2">
      <c r="A8" s="5" t="s">
        <v>7</v>
      </c>
      <c r="B8" s="8">
        <v>110000</v>
      </c>
      <c r="C8" s="7" t="s">
        <v>8</v>
      </c>
    </row>
    <row r="9" spans="1:3" ht="16" x14ac:dyDescent="0.2">
      <c r="A9" s="5" t="s">
        <v>9</v>
      </c>
      <c r="B9" s="8">
        <v>285000</v>
      </c>
      <c r="C9" s="7" t="s">
        <v>10</v>
      </c>
    </row>
    <row r="10" spans="1:3" ht="16" x14ac:dyDescent="0.2">
      <c r="A10" s="5" t="s">
        <v>11</v>
      </c>
      <c r="B10" s="9">
        <v>7000</v>
      </c>
    </row>
    <row r="11" spans="1:3" ht="16" x14ac:dyDescent="0.2">
      <c r="A11" s="5" t="s">
        <v>12</v>
      </c>
      <c r="B11" s="9">
        <v>4000</v>
      </c>
    </row>
    <row r="13" spans="1:3" ht="19.5" customHeight="1" x14ac:dyDescent="0.2">
      <c r="A13" s="3" t="s">
        <v>13</v>
      </c>
      <c r="B13" s="4"/>
      <c r="C13" s="4"/>
    </row>
    <row r="14" spans="1:3" ht="16" x14ac:dyDescent="0.2">
      <c r="A14" s="5" t="s">
        <v>14</v>
      </c>
      <c r="B14" s="10">
        <v>85000</v>
      </c>
      <c r="C14" s="7" t="s">
        <v>15</v>
      </c>
    </row>
    <row r="15" spans="1:3" ht="16" x14ac:dyDescent="0.2">
      <c r="A15" s="5" t="s">
        <v>16</v>
      </c>
      <c r="B15" s="11">
        <v>5</v>
      </c>
      <c r="C15" s="7" t="s">
        <v>17</v>
      </c>
    </row>
    <row r="16" spans="1:3" ht="16" x14ac:dyDescent="0.2">
      <c r="A16" s="5" t="s">
        <v>18</v>
      </c>
      <c r="B16" s="12">
        <v>30</v>
      </c>
    </row>
    <row r="17" spans="1:3" ht="16" x14ac:dyDescent="0.2">
      <c r="A17" s="5" t="s">
        <v>19</v>
      </c>
      <c r="B17" s="13">
        <v>130</v>
      </c>
    </row>
    <row r="19" spans="1:3" ht="19.5" customHeight="1" x14ac:dyDescent="0.2">
      <c r="A19" s="3" t="s">
        <v>20</v>
      </c>
      <c r="B19" s="4"/>
      <c r="C19" s="4"/>
    </row>
    <row r="20" spans="1:3" ht="16" x14ac:dyDescent="0.2">
      <c r="A20" s="5" t="s">
        <v>21</v>
      </c>
      <c r="B20" s="14">
        <v>1.85</v>
      </c>
      <c r="C20" s="7" t="s">
        <v>22</v>
      </c>
    </row>
    <row r="21" spans="1:3" ht="16" x14ac:dyDescent="0.2">
      <c r="A21" s="5" t="s">
        <v>23</v>
      </c>
      <c r="B21" s="14">
        <v>0.28000000000000003</v>
      </c>
      <c r="C21" s="7" t="s">
        <v>24</v>
      </c>
    </row>
    <row r="23" spans="1:3" ht="19.5" customHeight="1" x14ac:dyDescent="0.2">
      <c r="A23" s="3" t="s">
        <v>25</v>
      </c>
      <c r="B23" s="4"/>
      <c r="C23" s="4"/>
    </row>
    <row r="24" spans="1:3" ht="16" x14ac:dyDescent="0.2">
      <c r="A24" s="5" t="s">
        <v>26</v>
      </c>
      <c r="B24" s="8">
        <v>100000</v>
      </c>
      <c r="C24" s="7" t="s">
        <v>27</v>
      </c>
    </row>
  </sheetData>
  <mergeCells count="2">
    <mergeCell ref="A1:C1"/>
    <mergeCell ref="A2:C2"/>
  </mergeCells>
  <dataValidations count="1">
    <dataValidation type="list" sqref="B5" xr:uid="{00000000-0002-0000-0000-000000000000}">
      <formula1>"tracteur,porteur"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zoomScaleNormal="100" workbookViewId="0"/>
  </sheetViews>
  <sheetFormatPr baseColWidth="10" defaultColWidth="8.6640625" defaultRowHeight="15" x14ac:dyDescent="0.2"/>
  <cols>
    <col min="1" max="1" width="44" customWidth="1"/>
    <col min="2" max="3" width="16" customWidth="1"/>
    <col min="4" max="4" width="55" customWidth="1"/>
  </cols>
  <sheetData>
    <row r="1" spans="1:4" ht="18" x14ac:dyDescent="0.2">
      <c r="A1" s="2" t="s">
        <v>28</v>
      </c>
      <c r="B1" s="2"/>
      <c r="C1" s="2"/>
      <c r="D1" s="2"/>
    </row>
    <row r="2" spans="1:4" x14ac:dyDescent="0.2">
      <c r="A2" s="1" t="s">
        <v>29</v>
      </c>
      <c r="B2" s="1"/>
      <c r="C2" s="1"/>
      <c r="D2" s="1"/>
    </row>
    <row r="4" spans="1:4" ht="19.5" customHeight="1" x14ac:dyDescent="0.2">
      <c r="A4" s="3" t="s">
        <v>30</v>
      </c>
      <c r="B4" s="4"/>
      <c r="C4" s="4"/>
      <c r="D4" s="4"/>
    </row>
    <row r="5" spans="1:4" x14ac:dyDescent="0.2">
      <c r="A5" s="15" t="s">
        <v>31</v>
      </c>
      <c r="B5" s="15" t="s">
        <v>32</v>
      </c>
      <c r="C5" s="15" t="s">
        <v>33</v>
      </c>
    </row>
    <row r="6" spans="1:4" ht="16" x14ac:dyDescent="0.2">
      <c r="A6" s="5" t="s">
        <v>7</v>
      </c>
      <c r="B6" s="16">
        <v>110000</v>
      </c>
      <c r="C6" s="16">
        <v>80000</v>
      </c>
      <c r="D6" s="7" t="s">
        <v>34</v>
      </c>
    </row>
    <row r="7" spans="1:4" ht="16" x14ac:dyDescent="0.2">
      <c r="A7" s="5" t="s">
        <v>9</v>
      </c>
      <c r="B7" s="16">
        <v>285000</v>
      </c>
      <c r="C7" s="16">
        <v>195000</v>
      </c>
      <c r="D7" s="7" t="s">
        <v>34</v>
      </c>
    </row>
    <row r="8" spans="1:4" ht="16" x14ac:dyDescent="0.2">
      <c r="A8" s="5" t="s">
        <v>18</v>
      </c>
      <c r="B8" s="17">
        <v>30</v>
      </c>
      <c r="C8" s="17">
        <v>25</v>
      </c>
      <c r="D8" s="7" t="s">
        <v>35</v>
      </c>
    </row>
    <row r="9" spans="1:4" ht="16" x14ac:dyDescent="0.2">
      <c r="A9" s="5" t="s">
        <v>19</v>
      </c>
      <c r="B9" s="18">
        <v>130</v>
      </c>
      <c r="C9" s="18">
        <v>100</v>
      </c>
      <c r="D9" s="7" t="s">
        <v>36</v>
      </c>
    </row>
    <row r="10" spans="1:4" ht="16" x14ac:dyDescent="0.2">
      <c r="A10" s="5" t="s">
        <v>11</v>
      </c>
      <c r="B10" s="19">
        <v>7000</v>
      </c>
      <c r="C10" s="19">
        <v>5000</v>
      </c>
      <c r="D10" s="7" t="s">
        <v>37</v>
      </c>
    </row>
    <row r="11" spans="1:4" ht="16" x14ac:dyDescent="0.2">
      <c r="A11" s="5" t="s">
        <v>12</v>
      </c>
      <c r="B11" s="19">
        <v>4000</v>
      </c>
      <c r="C11" s="19">
        <v>3000</v>
      </c>
      <c r="D11" s="7" t="s">
        <v>38</v>
      </c>
    </row>
    <row r="12" spans="1:4" ht="16" x14ac:dyDescent="0.2">
      <c r="A12" s="5" t="s">
        <v>39</v>
      </c>
      <c r="B12" s="16">
        <v>100000</v>
      </c>
      <c r="C12" s="16">
        <v>50000</v>
      </c>
      <c r="D12" s="7" t="s">
        <v>40</v>
      </c>
    </row>
    <row r="14" spans="1:4" ht="19.5" customHeight="1" x14ac:dyDescent="0.2">
      <c r="A14" s="3" t="s">
        <v>41</v>
      </c>
      <c r="B14" s="4"/>
      <c r="C14" s="4"/>
      <c r="D14" s="4"/>
    </row>
    <row r="15" spans="1:4" x14ac:dyDescent="0.2">
      <c r="A15" s="20" t="s">
        <v>21</v>
      </c>
      <c r="B15" s="21">
        <v>1.85</v>
      </c>
      <c r="D15" s="7" t="s">
        <v>42</v>
      </c>
    </row>
    <row r="16" spans="1:4" x14ac:dyDescent="0.2">
      <c r="A16" s="20" t="s">
        <v>23</v>
      </c>
      <c r="B16" s="21">
        <v>0.28000000000000003</v>
      </c>
      <c r="D16" s="7" t="s">
        <v>43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zoomScaleNormal="100" workbookViewId="0"/>
  </sheetViews>
  <sheetFormatPr baseColWidth="10" defaultColWidth="8.6640625" defaultRowHeight="15" x14ac:dyDescent="0.2"/>
  <cols>
    <col min="1" max="1" width="48" customWidth="1"/>
    <col min="2" max="2" width="18" customWidth="1"/>
    <col min="3" max="3" width="60" customWidth="1"/>
  </cols>
  <sheetData>
    <row r="1" spans="1:3" ht="18" x14ac:dyDescent="0.2">
      <c r="A1" s="2" t="s">
        <v>44</v>
      </c>
      <c r="B1" s="2"/>
      <c r="C1" s="2"/>
    </row>
    <row r="2" spans="1:3" x14ac:dyDescent="0.2">
      <c r="A2" s="1" t="s">
        <v>45</v>
      </c>
      <c r="B2" s="1"/>
      <c r="C2" s="1"/>
    </row>
    <row r="4" spans="1:3" ht="19.5" customHeight="1" x14ac:dyDescent="0.2">
      <c r="A4" s="3" t="s">
        <v>46</v>
      </c>
      <c r="B4" s="4"/>
      <c r="C4" s="4"/>
    </row>
    <row r="5" spans="1:3" ht="16" x14ac:dyDescent="0.2">
      <c r="A5" s="5" t="s">
        <v>47</v>
      </c>
      <c r="B5" s="22">
        <f>IF(Saisies!$B$5="tracteur",Hypothèses!$B$12,Hypothèses!$C$12)</f>
        <v>100000</v>
      </c>
      <c r="C5" s="7" t="s">
        <v>48</v>
      </c>
    </row>
    <row r="6" spans="1:3" ht="16" x14ac:dyDescent="0.2">
      <c r="A6" s="5" t="s">
        <v>49</v>
      </c>
      <c r="B6" s="23">
        <f>MIN(Saisies!$B$24,Calculs!$B$5)</f>
        <v>100000</v>
      </c>
      <c r="C6" s="7" t="s">
        <v>50</v>
      </c>
    </row>
    <row r="8" spans="1:3" ht="19.5" customHeight="1" x14ac:dyDescent="0.2">
      <c r="A8" s="3" t="s">
        <v>51</v>
      </c>
      <c r="B8" s="4"/>
      <c r="C8" s="4"/>
    </row>
    <row r="9" spans="1:3" ht="16" x14ac:dyDescent="0.2">
      <c r="A9" s="5" t="s">
        <v>52</v>
      </c>
      <c r="B9" s="22">
        <f>Saisies!$B$8</f>
        <v>110000</v>
      </c>
      <c r="C9" s="7" t="s">
        <v>53</v>
      </c>
    </row>
    <row r="10" spans="1:3" ht="16" x14ac:dyDescent="0.2">
      <c r="A10" s="5" t="s">
        <v>54</v>
      </c>
      <c r="B10" s="22">
        <f>MAX(0,Saisies!$B$9-Calculs!$B$6)</f>
        <v>185000</v>
      </c>
      <c r="C10" s="7" t="s">
        <v>55</v>
      </c>
    </row>
    <row r="11" spans="1:3" ht="16" x14ac:dyDescent="0.2">
      <c r="A11" s="5" t="s">
        <v>56</v>
      </c>
      <c r="B11" s="23">
        <f>Calculs!$B$10-Calculs!$B$9</f>
        <v>75000</v>
      </c>
      <c r="C11" s="7" t="s">
        <v>57</v>
      </c>
    </row>
    <row r="12" spans="1:3" ht="16" x14ac:dyDescent="0.2">
      <c r="A12" s="5" t="s">
        <v>58</v>
      </c>
      <c r="B12" s="22">
        <f>Saisies!$B$9-Saisies!$B$8</f>
        <v>175000</v>
      </c>
      <c r="C12" s="7" t="s">
        <v>59</v>
      </c>
    </row>
    <row r="14" spans="1:3" ht="19.5" customHeight="1" x14ac:dyDescent="0.2">
      <c r="A14" s="3" t="s">
        <v>60</v>
      </c>
      <c r="B14" s="4"/>
      <c r="C14" s="4"/>
    </row>
    <row r="15" spans="1:3" ht="16" x14ac:dyDescent="0.2">
      <c r="A15" s="5" t="s">
        <v>61</v>
      </c>
      <c r="B15" s="24">
        <f>Saisies!$B$14*Saisies!$B$16/100*Saisies!$B$20</f>
        <v>47175</v>
      </c>
      <c r="C15" s="7" t="s">
        <v>62</v>
      </c>
    </row>
    <row r="16" spans="1:3" ht="16" x14ac:dyDescent="0.2">
      <c r="A16" s="5" t="s">
        <v>63</v>
      </c>
      <c r="B16" s="24">
        <f>Saisies!$B$14*Saisies!$B$17/100*Saisies!$B$21</f>
        <v>30940.000000000004</v>
      </c>
      <c r="C16" s="7" t="s">
        <v>64</v>
      </c>
    </row>
    <row r="17" spans="1:3" ht="16" x14ac:dyDescent="0.2">
      <c r="A17" s="5" t="s">
        <v>65</v>
      </c>
      <c r="B17" s="24">
        <f>Calculs!$B$15+Saisies!$B$10</f>
        <v>54175</v>
      </c>
    </row>
    <row r="18" spans="1:3" ht="16" x14ac:dyDescent="0.2">
      <c r="A18" s="5" t="s">
        <v>66</v>
      </c>
      <c r="B18" s="24">
        <f>Calculs!$B$16+Saisies!$B$11</f>
        <v>34940</v>
      </c>
    </row>
    <row r="19" spans="1:3" ht="16" x14ac:dyDescent="0.2">
      <c r="A19" s="5" t="s">
        <v>67</v>
      </c>
      <c r="B19" s="25">
        <f>Calculs!$B$17-Calculs!$B$18</f>
        <v>19235</v>
      </c>
      <c r="C19" s="7" t="s">
        <v>68</v>
      </c>
    </row>
    <row r="21" spans="1:3" ht="19.5" customHeight="1" x14ac:dyDescent="0.2">
      <c r="A21" s="3" t="s">
        <v>69</v>
      </c>
      <c r="B21" s="4"/>
      <c r="C21" s="4"/>
    </row>
    <row r="22" spans="1:3" ht="16" x14ac:dyDescent="0.2">
      <c r="A22" s="5" t="s">
        <v>70</v>
      </c>
      <c r="B22" s="23">
        <f>Calculs!$B$9+Saisies!$B$15*Calculs!$B$17</f>
        <v>380875</v>
      </c>
      <c r="C22" s="7" t="s">
        <v>71</v>
      </c>
    </row>
    <row r="23" spans="1:3" ht="16" x14ac:dyDescent="0.2">
      <c r="A23" s="5" t="s">
        <v>72</v>
      </c>
      <c r="B23" s="23">
        <f>Calculs!$B$10+Saisies!$B$15*Calculs!$B$18</f>
        <v>359700</v>
      </c>
    </row>
    <row r="24" spans="1:3" ht="16" x14ac:dyDescent="0.2">
      <c r="A24" s="5" t="s">
        <v>73</v>
      </c>
      <c r="B24" s="23">
        <f>Calculs!$B$22-Calculs!$B$23</f>
        <v>21175</v>
      </c>
      <c r="C24" s="7" t="s">
        <v>74</v>
      </c>
    </row>
    <row r="26" spans="1:3" ht="19.5" customHeight="1" x14ac:dyDescent="0.2">
      <c r="A26" s="3" t="s">
        <v>75</v>
      </c>
      <c r="B26" s="4"/>
      <c r="C26" s="4"/>
    </row>
    <row r="27" spans="1:3" ht="16" x14ac:dyDescent="0.2">
      <c r="A27" s="5" t="s">
        <v>76</v>
      </c>
      <c r="B27" s="26">
        <f>IF(Calculs!$B$19&lt;=0,"Non rentable",IF(Calculs!$B$11&lt;=0,"Immédiat",Calculs!$B$11/Calculs!$B$19))</f>
        <v>3.8991421887184821</v>
      </c>
      <c r="C27" s="7" t="s">
        <v>77</v>
      </c>
    </row>
    <row r="28" spans="1:3" ht="16" x14ac:dyDescent="0.2">
      <c r="A28" s="5" t="s">
        <v>78</v>
      </c>
      <c r="B28" s="27">
        <f>IFERROR(IF(Calculs!$B$19&lt;=0,0,IF(Calculs!$B$11&lt;=0,0,Calculs!$B$11/Calculs!$B$19)),0)</f>
        <v>3.8991421887184821</v>
      </c>
      <c r="C28" s="7" t="s">
        <v>79</v>
      </c>
    </row>
    <row r="29" spans="1:3" ht="16" x14ac:dyDescent="0.2">
      <c r="A29" s="5" t="s">
        <v>80</v>
      </c>
      <c r="B29" s="26" t="str">
        <f>IF(AND(ISNUMBER(Calculs!$B$27),Calculs!$B$27&lt;=Saisies!$B$15),"Oui","Non")</f>
        <v>Oui</v>
      </c>
      <c r="C29" s="7" t="s">
        <v>81</v>
      </c>
    </row>
    <row r="30" spans="1:3" ht="16" x14ac:dyDescent="0.2">
      <c r="A30" s="5" t="s">
        <v>82</v>
      </c>
      <c r="B30" s="28">
        <f>(Saisies!$B$16*Saisies!$B$20-Saisies!$B$17*Saisies!$B$21)/100</f>
        <v>0.19099999999999995</v>
      </c>
      <c r="C30" s="7" t="s">
        <v>83</v>
      </c>
    </row>
    <row r="31" spans="1:3" ht="16" x14ac:dyDescent="0.2">
      <c r="A31" s="5" t="s">
        <v>84</v>
      </c>
      <c r="B31" s="24">
        <f>Saisies!$B$10-Saisies!$B$11</f>
        <v>3000</v>
      </c>
      <c r="C31" s="7" t="s">
        <v>85</v>
      </c>
    </row>
    <row r="32" spans="1:3" ht="16" x14ac:dyDescent="0.2">
      <c r="A32" s="5" t="s">
        <v>86</v>
      </c>
      <c r="B32" s="29">
        <f>IF(Calculs!$B$30&lt;=0,"Non calculable",MAX(0,(Calculs!$B$11-Saisies!$B$15*Calculs!$B$31)/(Saisies!$B$15*Calculs!$B$30)))</f>
        <v>62827.225130890067</v>
      </c>
      <c r="C32" s="7" t="s">
        <v>87</v>
      </c>
    </row>
    <row r="34" spans="1:3" ht="19.5" customHeight="1" x14ac:dyDescent="0.2">
      <c r="A34" s="3" t="s">
        <v>88</v>
      </c>
      <c r="B34" s="4"/>
      <c r="C34" s="4"/>
    </row>
    <row r="35" spans="1:3" ht="16" x14ac:dyDescent="0.2">
      <c r="A35" s="5" t="s">
        <v>89</v>
      </c>
      <c r="B35" s="30">
        <f>IF(Calculs!$B$12&gt;0,MIN(1,Calculs!$B$6/Calculs!$B$12),0)</f>
        <v>0.5714285714285714</v>
      </c>
      <c r="C35" s="7" t="s">
        <v>90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3" width="22" customWidth="1"/>
    <col min="4" max="4" width="60" customWidth="1"/>
  </cols>
  <sheetData>
    <row r="1" spans="2:5" ht="18" x14ac:dyDescent="0.2">
      <c r="B1" s="2" t="s">
        <v>91</v>
      </c>
      <c r="C1" s="2"/>
      <c r="D1" s="2"/>
    </row>
    <row r="2" spans="2:5" x14ac:dyDescent="0.2">
      <c r="B2" s="1" t="s">
        <v>92</v>
      </c>
      <c r="C2" s="1"/>
      <c r="D2" s="1"/>
    </row>
    <row r="4" spans="2:5" ht="19.5" customHeight="1" x14ac:dyDescent="0.2">
      <c r="B4" s="31" t="s">
        <v>93</v>
      </c>
    </row>
    <row r="5" spans="2:5" ht="31.5" customHeight="1" x14ac:dyDescent="0.2">
      <c r="B5" s="32" t="s">
        <v>94</v>
      </c>
      <c r="C5" s="33">
        <f>Calculs!$B$11</f>
        <v>75000</v>
      </c>
      <c r="D5" s="34" t="s">
        <v>95</v>
      </c>
    </row>
    <row r="6" spans="2:5" ht="31.5" customHeight="1" x14ac:dyDescent="0.2">
      <c r="B6" s="35" t="s">
        <v>96</v>
      </c>
      <c r="C6" s="36">
        <f>Calculs!$B$19</f>
        <v>19235</v>
      </c>
      <c r="D6" s="37" t="s">
        <v>97</v>
      </c>
    </row>
    <row r="7" spans="2:5" ht="31.5" customHeight="1" x14ac:dyDescent="0.2">
      <c r="B7" s="38" t="s">
        <v>98</v>
      </c>
      <c r="C7" s="39">
        <f>Calculs!$B$27</f>
        <v>3.8991421887184821</v>
      </c>
      <c r="D7" s="40" t="s">
        <v>99</v>
      </c>
    </row>
    <row r="8" spans="2:5" ht="31.5" customHeight="1" x14ac:dyDescent="0.2">
      <c r="B8" s="35" t="s">
        <v>100</v>
      </c>
      <c r="C8" s="41">
        <f>Calculs!$B$24</f>
        <v>21175</v>
      </c>
      <c r="D8" s="37" t="s">
        <v>101</v>
      </c>
    </row>
    <row r="9" spans="2:5" ht="31.5" customHeight="1" x14ac:dyDescent="0.2">
      <c r="B9" s="38" t="s">
        <v>102</v>
      </c>
      <c r="C9" s="42">
        <f>Calculs!$B$35</f>
        <v>0.5714285714285714</v>
      </c>
      <c r="D9" s="40" t="s">
        <v>103</v>
      </c>
    </row>
    <row r="10" spans="2:5" ht="31.5" customHeight="1" x14ac:dyDescent="0.2">
      <c r="B10" s="38" t="s">
        <v>104</v>
      </c>
      <c r="C10" s="43">
        <f>Calculs!$B$32</f>
        <v>62827.225130890067</v>
      </c>
      <c r="D10" s="40" t="s">
        <v>105</v>
      </c>
    </row>
    <row r="13" spans="2:5" ht="19.5" customHeight="1" x14ac:dyDescent="0.2">
      <c r="B13" s="31" t="s">
        <v>106</v>
      </c>
    </row>
    <row r="14" spans="2:5" x14ac:dyDescent="0.2">
      <c r="B14" s="15" t="s">
        <v>107</v>
      </c>
      <c r="C14" s="15" t="s">
        <v>108</v>
      </c>
      <c r="D14" s="15" t="s">
        <v>109</v>
      </c>
      <c r="E14" s="15" t="s">
        <v>110</v>
      </c>
    </row>
    <row r="15" spans="2:5" x14ac:dyDescent="0.2">
      <c r="B15" s="44">
        <v>0</v>
      </c>
      <c r="C15" s="22">
        <f>Calculs!$B$9</f>
        <v>110000</v>
      </c>
      <c r="D15" s="22">
        <f>Calculs!$B$10</f>
        <v>185000</v>
      </c>
      <c r="E15" s="22">
        <f>C15-D15</f>
        <v>-75000</v>
      </c>
    </row>
    <row r="16" spans="2:5" x14ac:dyDescent="0.2">
      <c r="B16" s="44">
        <v>1</v>
      </c>
      <c r="C16" s="22">
        <f>IF(1&lt;=Saisies!$B$15,Calculs!$B$9+1*Calculs!$B$17,"—")</f>
        <v>164175</v>
      </c>
      <c r="D16" s="22">
        <f>IF(1&lt;=Saisies!$B$15,Calculs!$B$10+1*Calculs!$B$18,"—")</f>
        <v>219940</v>
      </c>
      <c r="E16" s="22">
        <f>IF(1&lt;=Saisies!$B$15,C16-D16,"—")</f>
        <v>-55765</v>
      </c>
    </row>
    <row r="17" spans="2:5" x14ac:dyDescent="0.2">
      <c r="B17" s="44">
        <v>2</v>
      </c>
      <c r="C17" s="22">
        <f>IF(2&lt;=Saisies!$B$15,Calculs!$B$9+2*Calculs!$B$17,"—")</f>
        <v>218350</v>
      </c>
      <c r="D17" s="22">
        <f>IF(2&lt;=Saisies!$B$15,Calculs!$B$10+2*Calculs!$B$18,"—")</f>
        <v>254880</v>
      </c>
      <c r="E17" s="22">
        <f>IF(2&lt;=Saisies!$B$15,C17-D17,"—")</f>
        <v>-36530</v>
      </c>
    </row>
    <row r="18" spans="2:5" x14ac:dyDescent="0.2">
      <c r="B18" s="44">
        <v>3</v>
      </c>
      <c r="C18" s="22">
        <f>IF(3&lt;=Saisies!$B$15,Calculs!$B$9+3*Calculs!$B$17,"—")</f>
        <v>272525</v>
      </c>
      <c r="D18" s="22">
        <f>IF(3&lt;=Saisies!$B$15,Calculs!$B$10+3*Calculs!$B$18,"—")</f>
        <v>289820</v>
      </c>
      <c r="E18" s="22">
        <f>IF(3&lt;=Saisies!$B$15,C18-D18,"—")</f>
        <v>-17295</v>
      </c>
    </row>
    <row r="19" spans="2:5" x14ac:dyDescent="0.2">
      <c r="B19" s="44">
        <v>4</v>
      </c>
      <c r="C19" s="22">
        <f>IF(4&lt;=Saisies!$B$15,Calculs!$B$9+4*Calculs!$B$17,"—")</f>
        <v>326700</v>
      </c>
      <c r="D19" s="22">
        <f>IF(4&lt;=Saisies!$B$15,Calculs!$B$10+4*Calculs!$B$18,"—")</f>
        <v>324760</v>
      </c>
      <c r="E19" s="22">
        <f>IF(4&lt;=Saisies!$B$15,C19-D19,"—")</f>
        <v>1940</v>
      </c>
    </row>
    <row r="20" spans="2:5" x14ac:dyDescent="0.2">
      <c r="B20" s="44">
        <v>5</v>
      </c>
      <c r="C20" s="22">
        <f>IF(5&lt;=Saisies!$B$15,Calculs!$B$9+5*Calculs!$B$17,"—")</f>
        <v>380875</v>
      </c>
      <c r="D20" s="22">
        <f>IF(5&lt;=Saisies!$B$15,Calculs!$B$10+5*Calculs!$B$18,"—")</f>
        <v>359700</v>
      </c>
      <c r="E20" s="22">
        <f>IF(5&lt;=Saisies!$B$15,C20-D20,"—")</f>
        <v>21175</v>
      </c>
    </row>
    <row r="21" spans="2:5" x14ac:dyDescent="0.2">
      <c r="B21" s="44">
        <v>6</v>
      </c>
      <c r="C21" s="22" t="str">
        <f>IF(6&lt;=Saisies!$B$15,Calculs!$B$9+6*Calculs!$B$17,"—")</f>
        <v>—</v>
      </c>
      <c r="D21" s="22" t="str">
        <f>IF(6&lt;=Saisies!$B$15,Calculs!$B$10+6*Calculs!$B$18,"—")</f>
        <v>—</v>
      </c>
      <c r="E21" s="22" t="str">
        <f>IF(6&lt;=Saisies!$B$15,C21-D21,"—")</f>
        <v>—</v>
      </c>
    </row>
    <row r="22" spans="2:5" x14ac:dyDescent="0.2">
      <c r="B22" s="44">
        <v>7</v>
      </c>
      <c r="C22" s="22" t="str">
        <f>IF(7&lt;=Saisies!$B$15,Calculs!$B$9+7*Calculs!$B$17,"—")</f>
        <v>—</v>
      </c>
      <c r="D22" s="22" t="str">
        <f>IF(7&lt;=Saisies!$B$15,Calculs!$B$10+7*Calculs!$B$18,"—")</f>
        <v>—</v>
      </c>
      <c r="E22" s="22" t="str">
        <f>IF(7&lt;=Saisies!$B$15,C22-D22,"—")</f>
        <v>—</v>
      </c>
    </row>
    <row r="23" spans="2:5" x14ac:dyDescent="0.2">
      <c r="B23" s="44">
        <v>8</v>
      </c>
      <c r="C23" s="22" t="str">
        <f>IF(8&lt;=Saisies!$B$15,Calculs!$B$9+8*Calculs!$B$17,"—")</f>
        <v>—</v>
      </c>
      <c r="D23" s="22" t="str">
        <f>IF(8&lt;=Saisies!$B$15,Calculs!$B$10+8*Calculs!$B$18,"—")</f>
        <v>—</v>
      </c>
      <c r="E23" s="22" t="str">
        <f>IF(8&lt;=Saisies!$B$15,C23-D23,"—")</f>
        <v>—</v>
      </c>
    </row>
    <row r="24" spans="2:5" x14ac:dyDescent="0.2">
      <c r="B24" s="44">
        <v>9</v>
      </c>
      <c r="C24" s="22" t="str">
        <f>IF(9&lt;=Saisies!$B$15,Calculs!$B$9+9*Calculs!$B$17,"—")</f>
        <v>—</v>
      </c>
      <c r="D24" s="22" t="str">
        <f>IF(9&lt;=Saisies!$B$15,Calculs!$B$10+9*Calculs!$B$18,"—")</f>
        <v>—</v>
      </c>
      <c r="E24" s="22" t="str">
        <f>IF(9&lt;=Saisies!$B$15,C24-D24,"—")</f>
        <v>—</v>
      </c>
    </row>
    <row r="25" spans="2:5" x14ac:dyDescent="0.2">
      <c r="B25" s="44">
        <v>10</v>
      </c>
      <c r="C25" s="22" t="str">
        <f>IF(10&lt;=Saisies!$B$15,Calculs!$B$9+10*Calculs!$B$17,"—")</f>
        <v>—</v>
      </c>
      <c r="D25" s="22" t="str">
        <f>IF(10&lt;=Saisies!$B$15,Calculs!$B$10+10*Calculs!$B$18,"—")</f>
        <v>—</v>
      </c>
      <c r="E25" s="22" t="str">
        <f>IF(10&lt;=Saisies!$B$15,C25-D25,"—")</f>
        <v>—</v>
      </c>
    </row>
    <row r="27" spans="2:5" ht="19.5" customHeight="1" x14ac:dyDescent="0.2">
      <c r="B27" s="31" t="s">
        <v>111</v>
      </c>
    </row>
    <row r="28" spans="2:5" ht="16" x14ac:dyDescent="0.2">
      <c r="B28" s="5" t="s">
        <v>52</v>
      </c>
      <c r="C28" s="45">
        <f>Calculs!$B$9</f>
        <v>110000</v>
      </c>
      <c r="D28" s="7" t="s">
        <v>53</v>
      </c>
    </row>
    <row r="29" spans="2:5" ht="16" x14ac:dyDescent="0.2">
      <c r="B29" s="5" t="s">
        <v>54</v>
      </c>
      <c r="C29" s="45">
        <f>Calculs!$B$10</f>
        <v>185000</v>
      </c>
      <c r="D29" s="7" t="s">
        <v>112</v>
      </c>
    </row>
    <row r="30" spans="2:5" ht="16" x14ac:dyDescent="0.2">
      <c r="B30" s="5" t="s">
        <v>113</v>
      </c>
      <c r="C30" s="45">
        <f>Calculs!$B$6</f>
        <v>100000</v>
      </c>
      <c r="D30" s="7" t="s">
        <v>114</v>
      </c>
    </row>
    <row r="31" spans="2:5" ht="16" x14ac:dyDescent="0.2">
      <c r="B31" s="5" t="s">
        <v>61</v>
      </c>
      <c r="C31" s="46">
        <f>Calculs!$B$15</f>
        <v>47175</v>
      </c>
      <c r="D31" s="7" t="s">
        <v>115</v>
      </c>
    </row>
    <row r="32" spans="2:5" ht="16" x14ac:dyDescent="0.2">
      <c r="B32" s="5" t="s">
        <v>63</v>
      </c>
      <c r="C32" s="46">
        <f>Calculs!$B$16</f>
        <v>30940.000000000004</v>
      </c>
      <c r="D32" s="7" t="s">
        <v>64</v>
      </c>
    </row>
    <row r="33" spans="2:4" ht="16" x14ac:dyDescent="0.2">
      <c r="B33" s="5" t="s">
        <v>116</v>
      </c>
      <c r="C33" s="46">
        <f>Saisies!$B$10</f>
        <v>7000</v>
      </c>
      <c r="D33" s="7"/>
    </row>
    <row r="34" spans="2:4" ht="16" x14ac:dyDescent="0.2">
      <c r="B34" s="5" t="s">
        <v>117</v>
      </c>
      <c r="C34" s="46">
        <f>Saisies!$B$11</f>
        <v>4000</v>
      </c>
      <c r="D34" s="7"/>
    </row>
    <row r="35" spans="2:4" ht="16" x14ac:dyDescent="0.2">
      <c r="B35" s="5" t="s">
        <v>118</v>
      </c>
      <c r="C35" s="46">
        <f>Calculs!$B$17</f>
        <v>54175</v>
      </c>
      <c r="D35" s="7" t="s">
        <v>119</v>
      </c>
    </row>
    <row r="36" spans="2:4" ht="16" x14ac:dyDescent="0.2">
      <c r="B36" s="5" t="s">
        <v>120</v>
      </c>
      <c r="C36" s="46">
        <f>Calculs!$B$18</f>
        <v>34940</v>
      </c>
      <c r="D36" s="7" t="s">
        <v>121</v>
      </c>
    </row>
    <row r="37" spans="2:4" x14ac:dyDescent="0.2">
      <c r="B37" s="47" t="s">
        <v>70</v>
      </c>
      <c r="C37" s="48">
        <f>Calculs!$B$22</f>
        <v>380875</v>
      </c>
      <c r="D37" s="7" t="s">
        <v>122</v>
      </c>
    </row>
    <row r="38" spans="2:4" x14ac:dyDescent="0.2">
      <c r="B38" s="47" t="s">
        <v>72</v>
      </c>
      <c r="C38" s="48">
        <f>Calculs!$B$23</f>
        <v>359700</v>
      </c>
      <c r="D38" s="7"/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8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18" customWidth="1"/>
    <col min="3" max="5" width="22" customWidth="1"/>
    <col min="6" max="6" width="18" customWidth="1"/>
  </cols>
  <sheetData>
    <row r="1" spans="2:6" ht="18" x14ac:dyDescent="0.2">
      <c r="B1" s="2" t="s">
        <v>123</v>
      </c>
      <c r="C1" s="2"/>
      <c r="D1" s="2"/>
      <c r="E1" s="2"/>
      <c r="F1" s="2"/>
    </row>
    <row r="2" spans="2:6" x14ac:dyDescent="0.2">
      <c r="B2" s="1" t="s">
        <v>124</v>
      </c>
      <c r="C2" s="1"/>
      <c r="D2" s="1"/>
      <c r="E2" s="1"/>
      <c r="F2" s="1"/>
    </row>
    <row r="4" spans="2:6" x14ac:dyDescent="0.2">
      <c r="B4" s="49" t="s">
        <v>125</v>
      </c>
      <c r="C4" s="50">
        <f>Calculs!$B$32</f>
        <v>62827.225130890067</v>
      </c>
      <c r="D4" s="1" t="s">
        <v>126</v>
      </c>
      <c r="E4" s="1"/>
      <c r="F4" s="1"/>
    </row>
    <row r="6" spans="2:6" ht="19.5" customHeight="1" x14ac:dyDescent="0.2">
      <c r="B6" s="3" t="s">
        <v>127</v>
      </c>
      <c r="C6" s="4"/>
      <c r="D6" s="4"/>
      <c r="E6" s="4"/>
      <c r="F6" s="4"/>
    </row>
    <row r="7" spans="2:6" x14ac:dyDescent="0.2">
      <c r="B7" s="15" t="s">
        <v>128</v>
      </c>
      <c r="C7" s="15" t="s">
        <v>61</v>
      </c>
      <c r="D7" s="15" t="s">
        <v>63</v>
      </c>
      <c r="E7" s="15" t="s">
        <v>129</v>
      </c>
      <c r="F7" s="15" t="s">
        <v>130</v>
      </c>
    </row>
    <row r="8" spans="2:6" x14ac:dyDescent="0.2">
      <c r="B8" s="51">
        <v>20000</v>
      </c>
      <c r="C8" s="24">
        <f>20000*Saisies!$B$16/100*Saisies!$B$20</f>
        <v>11100</v>
      </c>
      <c r="D8" s="24">
        <f>20000*Saisies!$B$17/100*Saisies!$B$21</f>
        <v>7280.0000000000009</v>
      </c>
      <c r="E8" s="22">
        <f>(Calculs!$B$9-Calculs!$B$10)+Saisies!$B$15*((C8-D8)+(Saisies!$B$10-Saisies!$B$11))</f>
        <v>-40900.000000000007</v>
      </c>
      <c r="F8" s="52" t="str">
        <f t="shared" ref="F8:F26" si="0">IF(E8&gt;=0,"Rentable","Non rentable")</f>
        <v>Non rentable</v>
      </c>
    </row>
    <row r="9" spans="2:6" x14ac:dyDescent="0.2">
      <c r="B9" s="51">
        <v>30000</v>
      </c>
      <c r="C9" s="24">
        <f>30000*Saisies!$B$16/100*Saisies!$B$20</f>
        <v>16650</v>
      </c>
      <c r="D9" s="24">
        <f>30000*Saisies!$B$17/100*Saisies!$B$21</f>
        <v>10920.000000000002</v>
      </c>
      <c r="E9" s="22">
        <f>(Calculs!$B$9-Calculs!$B$10)+Saisies!$B$15*((C9-D9)+(Saisies!$B$10-Saisies!$B$11))</f>
        <v>-31350.000000000007</v>
      </c>
      <c r="F9" s="52" t="str">
        <f t="shared" si="0"/>
        <v>Non rentable</v>
      </c>
    </row>
    <row r="10" spans="2:6" x14ac:dyDescent="0.2">
      <c r="B10" s="51">
        <v>40000</v>
      </c>
      <c r="C10" s="24">
        <f>40000*Saisies!$B$16/100*Saisies!$B$20</f>
        <v>22200</v>
      </c>
      <c r="D10" s="24">
        <f>40000*Saisies!$B$17/100*Saisies!$B$21</f>
        <v>14560.000000000002</v>
      </c>
      <c r="E10" s="22">
        <f>(Calculs!$B$9-Calculs!$B$10)+Saisies!$B$15*((C10-D10)+(Saisies!$B$10-Saisies!$B$11))</f>
        <v>-21800.000000000007</v>
      </c>
      <c r="F10" s="52" t="str">
        <f t="shared" si="0"/>
        <v>Non rentable</v>
      </c>
    </row>
    <row r="11" spans="2:6" x14ac:dyDescent="0.2">
      <c r="B11" s="51">
        <v>50000</v>
      </c>
      <c r="C11" s="24">
        <f>50000*Saisies!$B$16/100*Saisies!$B$20</f>
        <v>27750</v>
      </c>
      <c r="D11" s="24">
        <f>50000*Saisies!$B$17/100*Saisies!$B$21</f>
        <v>18200</v>
      </c>
      <c r="E11" s="22">
        <f>(Calculs!$B$9-Calculs!$B$10)+Saisies!$B$15*((C11-D11)+(Saisies!$B$10-Saisies!$B$11))</f>
        <v>-12250</v>
      </c>
      <c r="F11" s="52" t="str">
        <f t="shared" si="0"/>
        <v>Non rentable</v>
      </c>
    </row>
    <row r="12" spans="2:6" x14ac:dyDescent="0.2">
      <c r="B12" s="51">
        <v>60000</v>
      </c>
      <c r="C12" s="24">
        <f>60000*Saisies!$B$16/100*Saisies!$B$20</f>
        <v>33300</v>
      </c>
      <c r="D12" s="24">
        <f>60000*Saisies!$B$17/100*Saisies!$B$21</f>
        <v>21840.000000000004</v>
      </c>
      <c r="E12" s="22">
        <f>(Calculs!$B$9-Calculs!$B$10)+Saisies!$B$15*((C12-D12)+(Saisies!$B$10-Saisies!$B$11))</f>
        <v>-2700.0000000000146</v>
      </c>
      <c r="F12" s="52" t="str">
        <f t="shared" si="0"/>
        <v>Non rentable</v>
      </c>
    </row>
    <row r="13" spans="2:6" x14ac:dyDescent="0.2">
      <c r="B13" s="51">
        <v>70000</v>
      </c>
      <c r="C13" s="24">
        <f>70000*Saisies!$B$16/100*Saisies!$B$20</f>
        <v>38850</v>
      </c>
      <c r="D13" s="24">
        <f>70000*Saisies!$B$17/100*Saisies!$B$21</f>
        <v>25480.000000000004</v>
      </c>
      <c r="E13" s="22">
        <f>(Calculs!$B$9-Calculs!$B$10)+Saisies!$B$15*((C13-D13)+(Saisies!$B$10-Saisies!$B$11))</f>
        <v>6849.9999999999854</v>
      </c>
      <c r="F13" s="52" t="str">
        <f t="shared" si="0"/>
        <v>Rentable</v>
      </c>
    </row>
    <row r="14" spans="2:6" x14ac:dyDescent="0.2">
      <c r="B14" s="51">
        <v>80000</v>
      </c>
      <c r="C14" s="24">
        <f>80000*Saisies!$B$16/100*Saisies!$B$20</f>
        <v>44400</v>
      </c>
      <c r="D14" s="24">
        <f>80000*Saisies!$B$17/100*Saisies!$B$21</f>
        <v>29120.000000000004</v>
      </c>
      <c r="E14" s="22">
        <f>(Calculs!$B$9-Calculs!$B$10)+Saisies!$B$15*((C14-D14)+(Saisies!$B$10-Saisies!$B$11))</f>
        <v>16399.999999999985</v>
      </c>
      <c r="F14" s="52" t="str">
        <f t="shared" si="0"/>
        <v>Rentable</v>
      </c>
    </row>
    <row r="15" spans="2:6" x14ac:dyDescent="0.2">
      <c r="B15" s="51">
        <v>90000</v>
      </c>
      <c r="C15" s="24">
        <f>90000*Saisies!$B$16/100*Saisies!$B$20</f>
        <v>49950</v>
      </c>
      <c r="D15" s="24">
        <f>90000*Saisies!$B$17/100*Saisies!$B$21</f>
        <v>32760.000000000004</v>
      </c>
      <c r="E15" s="22">
        <f>(Calculs!$B$9-Calculs!$B$10)+Saisies!$B$15*((C15-D15)+(Saisies!$B$10-Saisies!$B$11))</f>
        <v>25949.999999999985</v>
      </c>
      <c r="F15" s="52" t="str">
        <f t="shared" si="0"/>
        <v>Rentable</v>
      </c>
    </row>
    <row r="16" spans="2:6" x14ac:dyDescent="0.2">
      <c r="B16" s="51">
        <v>100000</v>
      </c>
      <c r="C16" s="24">
        <f>100000*Saisies!$B$16/100*Saisies!$B$20</f>
        <v>55500</v>
      </c>
      <c r="D16" s="24">
        <f>100000*Saisies!$B$17/100*Saisies!$B$21</f>
        <v>36400</v>
      </c>
      <c r="E16" s="22">
        <f>(Calculs!$B$9-Calculs!$B$10)+Saisies!$B$15*((C16-D16)+(Saisies!$B$10-Saisies!$B$11))</f>
        <v>35500</v>
      </c>
      <c r="F16" s="52" t="str">
        <f t="shared" si="0"/>
        <v>Rentable</v>
      </c>
    </row>
    <row r="17" spans="2:6" x14ac:dyDescent="0.2">
      <c r="B17" s="51">
        <v>110000</v>
      </c>
      <c r="C17" s="24">
        <f>110000*Saisies!$B$16/100*Saisies!$B$20</f>
        <v>61050</v>
      </c>
      <c r="D17" s="24">
        <f>110000*Saisies!$B$17/100*Saisies!$B$21</f>
        <v>40040.000000000007</v>
      </c>
      <c r="E17" s="22">
        <f>(Calculs!$B$9-Calculs!$B$10)+Saisies!$B$15*((C17-D17)+(Saisies!$B$10-Saisies!$B$11))</f>
        <v>45049.999999999971</v>
      </c>
      <c r="F17" s="52" t="str">
        <f t="shared" si="0"/>
        <v>Rentable</v>
      </c>
    </row>
    <row r="18" spans="2:6" x14ac:dyDescent="0.2">
      <c r="B18" s="51">
        <v>120000</v>
      </c>
      <c r="C18" s="24">
        <f>120000*Saisies!$B$16/100*Saisies!$B$20</f>
        <v>66600</v>
      </c>
      <c r="D18" s="24">
        <f>120000*Saisies!$B$17/100*Saisies!$B$21</f>
        <v>43680.000000000007</v>
      </c>
      <c r="E18" s="22">
        <f>(Calculs!$B$9-Calculs!$B$10)+Saisies!$B$15*((C18-D18)+(Saisies!$B$10-Saisies!$B$11))</f>
        <v>54599.999999999971</v>
      </c>
      <c r="F18" s="52" t="str">
        <f t="shared" si="0"/>
        <v>Rentable</v>
      </c>
    </row>
    <row r="19" spans="2:6" x14ac:dyDescent="0.2">
      <c r="B19" s="51">
        <v>130000</v>
      </c>
      <c r="C19" s="24">
        <f>130000*Saisies!$B$16/100*Saisies!$B$20</f>
        <v>72150</v>
      </c>
      <c r="D19" s="24">
        <f>130000*Saisies!$B$17/100*Saisies!$B$21</f>
        <v>47320.000000000007</v>
      </c>
      <c r="E19" s="22">
        <f>(Calculs!$B$9-Calculs!$B$10)+Saisies!$B$15*((C19-D19)+(Saisies!$B$10-Saisies!$B$11))</f>
        <v>64149.999999999971</v>
      </c>
      <c r="F19" s="52" t="str">
        <f t="shared" si="0"/>
        <v>Rentable</v>
      </c>
    </row>
    <row r="20" spans="2:6" x14ac:dyDescent="0.2">
      <c r="B20" s="51">
        <v>140000</v>
      </c>
      <c r="C20" s="24">
        <f>140000*Saisies!$B$16/100*Saisies!$B$20</f>
        <v>77700</v>
      </c>
      <c r="D20" s="24">
        <f>140000*Saisies!$B$17/100*Saisies!$B$21</f>
        <v>50960.000000000007</v>
      </c>
      <c r="E20" s="22">
        <f>(Calculs!$B$9-Calculs!$B$10)+Saisies!$B$15*((C20-D20)+(Saisies!$B$10-Saisies!$B$11))</f>
        <v>73699.999999999971</v>
      </c>
      <c r="F20" s="52" t="str">
        <f t="shared" si="0"/>
        <v>Rentable</v>
      </c>
    </row>
    <row r="21" spans="2:6" x14ac:dyDescent="0.2">
      <c r="B21" s="51">
        <v>150000</v>
      </c>
      <c r="C21" s="24">
        <f>150000*Saisies!$B$16/100*Saisies!$B$20</f>
        <v>83250</v>
      </c>
      <c r="D21" s="24">
        <f>150000*Saisies!$B$17/100*Saisies!$B$21</f>
        <v>54600.000000000007</v>
      </c>
      <c r="E21" s="22">
        <f>(Calculs!$B$9-Calculs!$B$10)+Saisies!$B$15*((C21-D21)+(Saisies!$B$10-Saisies!$B$11))</f>
        <v>83249.999999999971</v>
      </c>
      <c r="F21" s="52" t="str">
        <f t="shared" si="0"/>
        <v>Rentable</v>
      </c>
    </row>
    <row r="22" spans="2:6" x14ac:dyDescent="0.2">
      <c r="B22" s="51">
        <v>160000</v>
      </c>
      <c r="C22" s="24">
        <f>160000*Saisies!$B$16/100*Saisies!$B$20</f>
        <v>88800</v>
      </c>
      <c r="D22" s="24">
        <f>160000*Saisies!$B$17/100*Saisies!$B$21</f>
        <v>58240.000000000007</v>
      </c>
      <c r="E22" s="22">
        <f>(Calculs!$B$9-Calculs!$B$10)+Saisies!$B$15*((C22-D22)+(Saisies!$B$10-Saisies!$B$11))</f>
        <v>92799.999999999971</v>
      </c>
      <c r="F22" s="52" t="str">
        <f t="shared" si="0"/>
        <v>Rentable</v>
      </c>
    </row>
    <row r="23" spans="2:6" x14ac:dyDescent="0.2">
      <c r="B23" s="51">
        <v>170000</v>
      </c>
      <c r="C23" s="24">
        <f>170000*Saisies!$B$16/100*Saisies!$B$20</f>
        <v>94350</v>
      </c>
      <c r="D23" s="24">
        <f>170000*Saisies!$B$17/100*Saisies!$B$21</f>
        <v>61880.000000000007</v>
      </c>
      <c r="E23" s="22">
        <f>(Calculs!$B$9-Calculs!$B$10)+Saisies!$B$15*((C23-D23)+(Saisies!$B$10-Saisies!$B$11))</f>
        <v>102349.99999999997</v>
      </c>
      <c r="F23" s="52" t="str">
        <f t="shared" si="0"/>
        <v>Rentable</v>
      </c>
    </row>
    <row r="24" spans="2:6" x14ac:dyDescent="0.2">
      <c r="B24" s="51">
        <v>180000</v>
      </c>
      <c r="C24" s="24">
        <f>180000*Saisies!$B$16/100*Saisies!$B$20</f>
        <v>99900</v>
      </c>
      <c r="D24" s="24">
        <f>180000*Saisies!$B$17/100*Saisies!$B$21</f>
        <v>65520.000000000007</v>
      </c>
      <c r="E24" s="22">
        <f>(Calculs!$B$9-Calculs!$B$10)+Saisies!$B$15*((C24-D24)+(Saisies!$B$10-Saisies!$B$11))</f>
        <v>111899.99999999997</v>
      </c>
      <c r="F24" s="52" t="str">
        <f t="shared" si="0"/>
        <v>Rentable</v>
      </c>
    </row>
    <row r="25" spans="2:6" x14ac:dyDescent="0.2">
      <c r="B25" s="51">
        <v>190000</v>
      </c>
      <c r="C25" s="24">
        <f>190000*Saisies!$B$16/100*Saisies!$B$20</f>
        <v>105450</v>
      </c>
      <c r="D25" s="24">
        <f>190000*Saisies!$B$17/100*Saisies!$B$21</f>
        <v>69160</v>
      </c>
      <c r="E25" s="22">
        <f>(Calculs!$B$9-Calculs!$B$10)+Saisies!$B$15*((C25-D25)+(Saisies!$B$10-Saisies!$B$11))</f>
        <v>121450</v>
      </c>
      <c r="F25" s="52" t="str">
        <f t="shared" si="0"/>
        <v>Rentable</v>
      </c>
    </row>
    <row r="26" spans="2:6" x14ac:dyDescent="0.2">
      <c r="B26" s="51">
        <v>200000</v>
      </c>
      <c r="C26" s="24">
        <f>200000*Saisies!$B$16/100*Saisies!$B$20</f>
        <v>111000</v>
      </c>
      <c r="D26" s="24">
        <f>200000*Saisies!$B$17/100*Saisies!$B$21</f>
        <v>72800</v>
      </c>
      <c r="E26" s="22">
        <f>(Calculs!$B$9-Calculs!$B$10)+Saisies!$B$15*((C26-D26)+(Saisies!$B$10-Saisies!$B$11))</f>
        <v>131000</v>
      </c>
      <c r="F26" s="52" t="str">
        <f t="shared" si="0"/>
        <v>Rentable</v>
      </c>
    </row>
    <row r="28" spans="2:6" x14ac:dyDescent="0.2">
      <c r="B28" s="49" t="s">
        <v>131</v>
      </c>
      <c r="C28" s="53" t="str">
        <f>IFERROR(INDEX(B8:B26,MATCH(TRUE(),E8:E26&gt;=0,0)),"Aucun")</f>
        <v>Aucun</v>
      </c>
      <c r="D28" s="1" t="s">
        <v>132</v>
      </c>
      <c r="E28" s="1"/>
      <c r="F28" s="1"/>
    </row>
  </sheetData>
  <mergeCells count="4">
    <mergeCell ref="B1:F1"/>
    <mergeCell ref="B2:F2"/>
    <mergeCell ref="D4:F4"/>
    <mergeCell ref="D28:F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Saisies</vt:lpstr>
      <vt:lpstr>Hypothèses</vt:lpstr>
      <vt:lpstr>Calculs</vt:lpstr>
      <vt:lpstr>Résultats</vt:lpstr>
      <vt:lpstr>Sensibilité 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Bertrand Matge</cp:lastModifiedBy>
  <cp:revision>0</cp:revision>
  <dcterms:created xsi:type="dcterms:W3CDTF">2026-05-20T13:57:43Z</dcterms:created>
  <dcterms:modified xsi:type="dcterms:W3CDTF">2026-05-20T14:53:36Z</dcterms:modified>
  <dc:language>en-US</dc:language>
</cp:coreProperties>
</file>